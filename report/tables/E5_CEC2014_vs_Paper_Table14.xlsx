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a5c4c3da041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612bd577c4422e"/>
    <x:sheet xmlns:r="http://schemas.openxmlformats.org/officeDocument/2006/relationships" name="SCHO_vs_Paper" sheetId="2" r:id="R30518887fd174fd6"/>
    <x:sheet xmlns:r="http://schemas.openxmlformats.org/officeDocument/2006/relationships" name="GWO_vs_Paper" sheetId="3" r:id="R7a82ffa18b25462d"/>
    <x:sheet xmlns:r="http://schemas.openxmlformats.org/officeDocument/2006/relationships" name="Paper_Table14" sheetId="4" r:id="Rd8dd01310b1b43ea"/>
    <x:sheet xmlns:r="http://schemas.openxmlformats.org/officeDocument/2006/relationships" name="Protocol" sheetId="5" r:id="Rb2c7fefc4ef445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E+00"/>
    <x:numFmt numFmtId="201" formatCode="0.0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6">
    <x:dxf>
      <x:font>
        <x:b/>
      </x:font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3d344978174f5c" /><Relationship Type="http://schemas.openxmlformats.org/officeDocument/2006/relationships/theme" Target="/xl/theme/theme1.xml" Id="R40aee79e4c53422f" /><Relationship Type="http://schemas.openxmlformats.org/officeDocument/2006/relationships/sharedStrings" Target="/xl/sharedStrings.xml" Id="Rf4188e85a86b4385" /><Relationship Type="http://schemas.openxmlformats.org/officeDocument/2006/relationships/worksheet" Target="/xl/worksheets/sheet1.xml" Id="Ra0612bd577c4422e" /><Relationship Type="http://schemas.openxmlformats.org/officeDocument/2006/relationships/worksheet" Target="/xl/worksheets/sheet2.xml" Id="R30518887fd174fd6" /><Relationship Type="http://schemas.openxmlformats.org/officeDocument/2006/relationships/worksheet" Target="/xl/worksheets/sheet3.xml" Id="R7a82ffa18b25462d" /><Relationship Type="http://schemas.openxmlformats.org/officeDocument/2006/relationships/worksheet" Target="/xl/worksheets/sheet4.xml" Id="Rd8dd01310b1b43ea" /><Relationship Type="http://schemas.openxmlformats.org/officeDocument/2006/relationships/worksheet" Target="/xl/worksheets/sheet5.xml" Id="Rb2c7fefc4ef445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3edf760d1449c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Mean-error agreement with paper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SCHO</c:v>
          </c:tx>
          <c:cat>
            <c:strRef>
              <c:f>'Summary'!$J$4:$J$7</c:f>
              <c:strCache>
                <c:ptCount val="0"/>
              </c:strCache>
            </c:strRef>
          </c:cat>
          <c:val>
            <c:numRef>
              <c:f>'Summary'!$K$4:$K$7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GWO</c:v>
          </c:tx>
          <c:cat>
            <c:strRef>
              <c:f>'Summary'!$J$4:$J$7</c:f>
              <c:strCache>
                <c:ptCount val="0"/>
              </c:strCache>
            </c:strRef>
          </c:cat>
          <c:val>
            <c:numRef>
              <c:f>'Summary'!$L$4:$L$7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8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3edf760d1449c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7c5692aabb40e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10" max="10" width="9.130000114440918" hidden="0" customWidth="1"/>
    <x:col min="11" max="11" width="4.75" hidden="0" customWidth="1"/>
    <x:col min="12" max="12" width="4.630000114440918" hidden="0" customWidth="1"/>
  </x:cols>
  <x:sheetData>
    <x:row r="1" ht="19.200000762939453" hidden="0" customHeight="1">
      <x:c r="A1" s="5" t="str">
        <x:v>E5 — CEC2014 reproduction vs Bai et al. Table 14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3" t="str">
        <x:v>Diagnostic</x:v>
      </x:c>
      <x:c r="B3" s="13" t="str">
        <x:v>Value</x:v>
      </x:c>
      <x:c r="D3" s="13" t="str">
        <x:v>Mean-error diagnostic band</x:v>
      </x:c>
      <x:c r="E3" s="13" t="str">
        <x:v>SCHO</x:v>
      </x:c>
      <x:c r="F3" s="13" t="str">
        <x:v>GWO</x:v>
      </x:c>
      <x:c r="G3" s="13" t="str">
        <x:v>Meaning</x:v>
      </x:c>
      <x:c r="H3" s="13" t="str">
        <x:v>Threshold</x:v>
      </x:c>
      <x:c r="J3" s="13" t="str">
        <x:v>Band</x:v>
      </x:c>
      <x:c r="K3" s="13" t="str">
        <x:v>SCHO</x:v>
      </x:c>
      <x:c r="L3" s="13" t="str">
        <x:v>GWO</x:v>
      </x:c>
    </x:row>
    <x:row r="4" ht="15" hidden="0" customHeight="1">
      <x:c r="A4" t="str">
        <x:v>SCHO Close (mean-error ratio ±25%)</x:v>
      </x:c>
      <x:c r="B4" t="n">
        <x:f>COUNTIF('SCHO_vs_Paper'!Q2:Q31,"Close (±25%)")</x:f>
        <x:v>14</x:v>
      </x:c>
      <x:c r="D4" t="str">
        <x:v>Close</x:v>
      </x:c>
      <x:c r="E4" t="n">
        <x:v>14</x:v>
      </x:c>
      <x:c r="F4" t="n">
        <x:v>22</x:v>
      </x:c>
      <x:c r="G4" t="str">
        <x:v>Very similar excess-error scale</x:v>
      </x:c>
      <x:c r="H4" t="str">
        <x:v>ratio 0.8–1.25</x:v>
      </x:c>
      <x:c r="J4" t="str">
        <x:v>Close</x:v>
      </x:c>
      <x:c r="K4" t="n">
        <x:v>14</x:v>
      </x:c>
      <x:c r="L4" t="n">
        <x:v>22</x:v>
      </x:c>
    </x:row>
    <x:row r="5" ht="15" hidden="0" customHeight="1">
      <x:c r="A5" t="str">
        <x:v>SCHO within factor 2</x:v>
      </x:c>
      <x:c r="B5" t="n">
        <x:f>COUNTIF('SCHO_vs_Paper'!Q2:Q31,"Close (±25%)")+COUNTIF('SCHO_vs_Paper'!Q2:Q31,"Same order (×0.5–2)")</x:f>
        <x:v>26</x:v>
      </x:c>
      <x:c r="D5" t="str">
        <x:v>Same order</x:v>
      </x:c>
      <x:c r="E5" t="n">
        <x:v>12</x:v>
      </x:c>
      <x:c r="F5" t="n">
        <x:v>8</x:v>
      </x:c>
      <x:c r="G5" t="str">
        <x:v>Same order, but outside ±25%</x:v>
      </x:c>
      <x:c r="H5" t="str">
        <x:v>ratio 0.5–2</x:v>
      </x:c>
      <x:c r="J5" t="str">
        <x:v>Same order</x:v>
      </x:c>
      <x:c r="K5" t="n">
        <x:v>12</x:v>
      </x:c>
      <x:c r="L5" t="n">
        <x:v>8</x:v>
      </x:c>
    </x:row>
    <x:row r="6" ht="15" hidden="0" customHeight="1">
      <x:c r="A6" t="str">
        <x:v>GWO Close (mean-error ratio ±25%)</x:v>
      </x:c>
      <x:c r="B6" t="n">
        <x:f>COUNTIF('GWO_vs_Paper'!Q2:Q31,"Close (±25%)")</x:f>
        <x:v>22</x:v>
      </x:c>
      <x:c r="D6" t="str">
        <x:v>Notable deviation</x:v>
      </x:c>
      <x:c r="E6" t="n">
        <x:v>3</x:v>
      </x:c>
      <x:c r="F6" t="n">
        <x:v>0</x:v>
      </x:c>
      <x:c r="G6" t="str">
        <x:v>Meaningful mismatch</x:v>
      </x:c>
      <x:c r="H6" t="str">
        <x:v>ratio 0.1–10 excluding above</x:v>
      </x:c>
      <x:c r="J6" t="str">
        <x:v>Notable</x:v>
      </x:c>
      <x:c r="K6" t="n">
        <x:v>3</x:v>
      </x:c>
      <x:c r="L6" t="n">
        <x:v>0</x:v>
      </x:c>
    </x:row>
    <x:row r="7" ht="15" hidden="0" customHeight="1">
      <x:c r="A7" t="str">
        <x:v>GWO within factor 2</x:v>
      </x:c>
      <x:c r="B7" t="n">
        <x:f>COUNTIF('GWO_vs_Paper'!Q2:Q31,"Close (±25%)")+COUNTIF('GWO_vs_Paper'!Q2:Q31,"Same order (×0.5–2)")</x:f>
        <x:v>30</x:v>
      </x:c>
      <x:c r="D7" t="str">
        <x:v>Major deviation</x:v>
      </x:c>
      <x:c r="E7" t="n">
        <x:v>1</x:v>
      </x:c>
      <x:c r="F7" t="n">
        <x:v>0</x:v>
      </x:c>
      <x:c r="G7" t="str">
        <x:v>Severe mismatch</x:v>
      </x:c>
      <x:c r="H7" t="str">
        <x:v>ratio &gt;10 or &lt;0.1</x:v>
      </x:c>
      <x:c r="J7" t="str">
        <x:v>Major</x:v>
      </x:c>
      <x:c r="K7" t="n">
        <x:v>1</x:v>
      </x:c>
      <x:c r="L7" t="n">
        <x:v>0</x:v>
      </x:c>
    </x:row>
    <x:row r="8" ht="15" hidden="0" customHeight="1">
      <x:c r="A8" t="str">
        <x:v>Paper pairwise Mean wins (SCHO:GWO)</x:v>
      </x:c>
      <x:c r="B8" t="str">
        <x:v>17:13</x:v>
      </x:c>
      <x:c r="D8" t="str">
        <x:v>Within factor 2 total</x:v>
      </x:c>
      <x:c r="E8" t="n">
        <x:v>26</x:v>
      </x:c>
      <x:c r="F8" t="n">
        <x:v>30</x:v>
      </x:c>
      <x:c r="G8" t="str">
        <x:v>Primary broad reproducibility diagnostic</x:v>
      </x:c>
      <x:c r="H8" t="str">
        <x:v>Close + Same order</x:v>
      </x:c>
    </x:row>
    <x:row r="9" ht="15" hidden="0" customHeight="1">
      <x:c r="A9" t="str">
        <x:v>Repro pairwise Mean wins (SCHO:GWO)</x:v>
      </x:c>
      <x:c r="B9" t="str">
        <x:v>8:22</x:v>
      </x:c>
    </x:row>
    <x:row r="10" ht="15" hidden="0" customHeight="1">
      <x:c r="A10" t="str">
        <x:v>Pairwise winner flips</x:v>
      </x:c>
      <x:c r="B10" t="n">
        <x:v>9</x:v>
      </x:c>
    </x:row>
    <x:row r="11"/>
    <x:row r="12" ht="15" hidden="0" customHeight="1">
      <x:c r="A12" s="18" t="str">
        <x:v>Key finding</x:v>
      </x:c>
      <x:c r="B12" s="18" t="str">
        <x:v>Details</x:v>
      </x:c>
      <x:c r="C12" s="18" t="str"/>
      <x:c r="D12" s="18" t="str"/>
      <x:c r="E12" s="18" t="str"/>
      <x:c r="F12" s="18" t="str"/>
      <x:c r="G12" s="18" t="str"/>
      <x:c r="H12" s="18" t="str"/>
    </x:row>
    <x:row r="13" ht="15" hidden="0" customHeight="1">
      <x:c r="A13" s="19" t="str">
        <x:v>Evaluator/protocol check</x:v>
      </x:c>
      <x:c r="B13" s="19" t="str">
        <x:v>GWO reproduces paper mean excess-error scale on all 30 functions within factor 2; 22/30 are within ±25%.</x:v>
      </x:c>
      <x:c r="C13" s="19" t="str"/>
      <x:c r="D13" s="19" t="str"/>
      <x:c r="E13" s="19" t="str"/>
      <x:c r="F13" s="19" t="str"/>
      <x:c r="G13" s="19" t="str"/>
      <x:c r="H13" s="19" t="str"/>
    </x:row>
    <x:row r="14" ht="15" hidden="0" customHeight="1">
      <x:c r="A14" s="19" t="str">
        <x:v>SCHO overall</x:v>
      </x:c>
      <x:c r="B14" s="19" t="str">
        <x:v>26/30 SCHO functions remain within factor 2 of the paper mean excess error, but F2, F7, F15 and F21 exceed that band.</x:v>
      </x:c>
      <x:c r="C14" s="19" t="str"/>
      <x:c r="D14" s="19" t="str"/>
      <x:c r="E14" s="19" t="str"/>
      <x:c r="F14" s="19" t="str"/>
      <x:c r="G14" s="19" t="str"/>
      <x:c r="H14" s="19" t="str"/>
    </x:row>
    <x:row r="15" ht="15" hidden="0" customHeight="1">
      <x:c r="A15" s="19" t="str">
        <x:v>Largest mismatch</x:v>
      </x:c>
      <x:c r="B15" s="19" t="str">
        <x:v>F21: reproduced SCHO Mean is dominated by extreme outliers; mean excess-error is about 67× the paper value.</x:v>
      </x:c>
      <x:c r="C15" s="19" t="str"/>
      <x:c r="D15" s="19" t="str"/>
      <x:c r="E15" s="19" t="str"/>
      <x:c r="F15" s="19" t="str"/>
      <x:c r="G15" s="19" t="str"/>
      <x:c r="H15" s="19" t="str"/>
    </x:row>
    <x:row r="16" ht="15" hidden="0" customHeight="1">
      <x:c r="A16" s="19" t="str">
        <x:v>Distribution mismatch</x:v>
      </x:c>
      <x:c r="B16" s="19" t="str">
        <x:v>F23 and F27 have reproduced STD=0 plateaus, while the paper reports nonzero STD and better Best values.</x:v>
      </x:c>
      <x:c r="C16" s="19" t="str"/>
      <x:c r="D16" s="19" t="str"/>
      <x:c r="E16" s="19" t="str"/>
      <x:c r="F16" s="19" t="str"/>
      <x:c r="G16" s="19" t="str"/>
      <x:c r="H16" s="19" t="str"/>
    </x:row>
    <x:row r="17" ht="15" hidden="0" customHeight="1">
      <x:c r="A17" s="19" t="str">
        <x:v>Pairwise consequence</x:v>
      </x:c>
      <x:c r="B17" s="19" t="str">
        <x:v>Paper Table 14 has SCHO better than GWO by Mean on 17/30; our reproduction has SCHO better on 8/30. Nine functions flip from paper-SCHO to reproduced-GWO.</x:v>
      </x:c>
      <x:c r="C17" s="19" t="str"/>
      <x:c r="D17" s="19" t="str"/>
      <x:c r="E17" s="19" t="str"/>
      <x:c r="F17" s="19" t="str"/>
      <x:c r="G17" s="19" t="str"/>
      <x:c r="H17" s="19" t="str"/>
    </x:row>
    <x:row r="18" ht="15" hidden="0" customHeight="1">
      <x:c r="A18" s="19" t="str">
        <x:v>Interpretation</x:v>
      </x:c>
      <x:c r="B18" s="19" t="str">
        <x:v>Do not tune the frozen algorithms. The evidence supports evaluator compatibility, while exact SCHO-paper stochastic behavior is not fully reproduced.</x:v>
      </x:c>
      <x:c r="C18" s="19" t="str"/>
      <x:c r="D18" s="19" t="str"/>
      <x:c r="E18" s="19" t="str"/>
      <x:c r="F18" s="19" t="str"/>
      <x:c r="G18" s="19" t="str"/>
      <x:c r="H18" s="19" t="str"/>
    </x:row>
  </x:sheetData>
  <x:mergeCells>
    <x:mergeCell ref="A1:H1"/>
    <x:mergeCell ref="B13:H13"/>
    <x:mergeCell ref="B14:H14"/>
    <x:mergeCell ref="B15:H15"/>
    <x:mergeCell ref="B16:H16"/>
    <x:mergeCell ref="B17:H17"/>
    <x:mergeCell ref="B18:H18"/>
  </x:mergeCells>
  <x:pageMargins left="0.7" right="0.7" top="0.75" bottom="0.75" header="0.3" footer="0.3"/>
  <x:drawing xmlns:r="http://schemas.openxmlformats.org/officeDocument/2006/relationships" r:id="R7e7c5692aabb40e1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9.380000114440918" hidden="0" customWidth="1"/>
    <x:col min="4" max="4" width="9.380000114440918" hidden="0" customWidth="1"/>
    <x:col min="5" max="5" width="9.380000114440918" hidden="0" customWidth="1"/>
    <x:col min="6" max="6" width="9.75" hidden="0" customWidth="1"/>
    <x:col min="7" max="7" width="9.880000114440918" hidden="0" customWidth="1"/>
    <x:col min="8" max="8" width="9.380000114440918" hidden="0" customWidth="1"/>
    <x:col min="9" max="9" width="15.380000114440918" hidden="0" customWidth="1"/>
    <x:col min="10" max="10" width="14" hidden="0" customWidth="1"/>
    <x:col min="11" max="11" width="14.130000114440918" hidden="0" customWidth="1"/>
    <x:col min="12" max="12" width="13.630000114440918" hidden="0" customWidth="1"/>
    <x:col min="13" max="13" width="14.630000114440918" hidden="0" customWidth="1"/>
    <x:col min="14" max="14" width="12.5" hidden="0" customWidth="1"/>
    <x:col min="15" max="15" width="9.380000114440918" hidden="0" customWidth="1"/>
    <x:col min="16" max="16" width="18.5" hidden="0" customWidth="1"/>
    <x:col min="17" max="17" width="24" hidden="0" customWidth="1"/>
    <x:col min="18" max="18" width="42" hidden="0" customWidth="1"/>
  </x:cols>
  <x:sheetData>
    <x:row r="1" ht="15" hidden="0" customHeight="1">
      <x:c r="A1" s="18" t="str">
        <x:v>Function</x:v>
      </x:c>
      <x:c r="B1" s="18" t="str">
        <x:v>Family</x:v>
      </x:c>
      <x:c r="C1" s="18" t="str">
        <x:v>Optimum</x:v>
      </x:c>
      <x:c r="D1" s="18" t="str">
        <x:v>Paper Best</x:v>
      </x:c>
      <x:c r="E1" s="18" t="str">
        <x:v>Repro Best</x:v>
      </x:c>
      <x:c r="F1" s="18" t="str">
        <x:v>Paper Mean</x:v>
      </x:c>
      <x:c r="G1" s="18" t="str">
        <x:v>Repro Mean</x:v>
      </x:c>
      <x:c r="H1" s="18" t="str">
        <x:v>Paper STD</x:v>
      </x:c>
      <x:c r="I1" s="18" t="str">
        <x:v>Repro STD (ddof=1)</x:v>
      </x:c>
      <x:c r="J1" s="18" t="str">
        <x:v>Paper Mean Error</x:v>
      </x:c>
      <x:c r="K1" s="18" t="str">
        <x:v>Repro Mean Error</x:v>
      </x:c>
      <x:c r="L1" s="18" t="str">
        <x:v>Mean Error Ratio</x:v>
      </x:c>
      <x:c r="M1" s="18" t="str">
        <x:v>Raw Mean Rel Diff</x:v>
      </x:c>
      <x:c r="N1" s="18" t="str">
        <x:v>Best Error Ratio</x:v>
      </x:c>
      <x:c r="O1" s="18" t="str">
        <x:v>STD Ratio</x:v>
      </x:c>
      <x:c r="P1" s="18" t="str">
        <x:v>Paper-vs-Repro Mean Δ</x:v>
      </x:c>
      <x:c r="Q1" s="18" t="str">
        <x:v>Agreement Band</x:v>
      </x:c>
      <x:c r="R1" s="18" t="str">
        <x:v>Notes</x:v>
      </x:c>
    </x:row>
    <x:row r="2" ht="15" hidden="0" customHeight="1">
      <x:c r="A2" s="19" t="str">
        <x:v>F1</x:v>
      </x:c>
      <x:c r="B2" s="19" t="str">
        <x:v>Unimodal</x:v>
      </x:c>
      <x:c r="C2" s="22" t="n">
        <x:v>100</x:v>
      </x:c>
      <x:c r="D2" s="22" t="n">
        <x:v>1127800</x:v>
      </x:c>
      <x:c r="E2" s="22" t="n">
        <x:v>721101.3188550456</x:v>
      </x:c>
      <x:c r="F2" s="22" t="n">
        <x:v>9777200</x:v>
      </x:c>
      <x:c r="G2" s="22" t="n">
        <x:v>10495924.857032442</x:v>
      </x:c>
      <x:c r="H2" s="22" t="n">
        <x:v>10876000</x:v>
      </x:c>
      <x:c r="I2" s="22" t="n">
        <x:v>7413550.7303670375</x:v>
      </x:c>
      <x:c r="J2" s="22" t="n">
        <x:f>F2-C2</x:f>
        <x:v>9777100</x:v>
      </x:c>
      <x:c r="K2" s="22" t="n">
        <x:f>G2-C2</x:f>
        <x:v>10495824.857032442</x:v>
      </x:c>
      <x:c r="L2" s="22" t="n">
        <x:f>IF(ABS(J2)&lt;1E-15,IF(ABS(K2)&lt;1E-15,1,1E99),K2/J2)</x:f>
        <x:v>1.0735110469395264</x:v>
      </x:c>
      <x:c r="M2" s="24" t="n">
        <x:f>ABS(G2-F2)/MAX(ABS(F2),1E-15)</x:f>
        <x:v>0.07351029507757256</x:v>
      </x:c>
      <x:c r="N2" s="22" t="n">
        <x:f>IF(ABS(D2-C2)&lt;1E-15,IF(ABS(E2-C2)&lt;1E-15,1,1E99),(E2-C2)/(D2-C2))</x:f>
        <x:v>0.6393556077458948</x:v>
      </x:c>
      <x:c r="O2" s="22" t="n">
        <x:f>IF(ABS(H2)&lt;1E-15,IF(ABS(I2)&lt;1E-15,1,1E99),I2/H2)</x:f>
        <x:v>0.6816431344581683</x:v>
      </x:c>
      <x:c r="P2" s="22" t="n">
        <x:f>G2-F2</x:f>
        <x:v>718724.8570324425</x:v>
      </x:c>
      <x:c r="Q2" s="19" t="str">
        <x:f>IF(AND(L2&gt;=0.8,L2&lt;=1.25),"Close (±25%)",IF(AND(L2&gt;=0.5,L2&lt;=2),"Same order (×0.5–2)",IF(AND(L2&gt;=0.1,L2&lt;=10),"Notable deviation","Major deviation")))</x:f>
        <x:v>Close (±25%)</x:v>
      </x:c>
      <x:c r="R2" s="19" t="str"/>
    </x:row>
    <x:row r="3" ht="15" hidden="0" customHeight="1">
      <x:c r="A3" s="19" t="str">
        <x:v>F2</x:v>
      </x:c>
      <x:c r="B3" s="19" t="str">
        <x:v>Unimodal</x:v>
      </x:c>
      <x:c r="C3" s="22" t="n">
        <x:v>200</x:v>
      </x:c>
      <x:c r="D3" s="22" t="n">
        <x:v>1469600</x:v>
      </x:c>
      <x:c r="E3" s="22" t="n">
        <x:v>1451841.293960168</x:v>
      </x:c>
      <x:c r="F3" s="22" t="n">
        <x:v>261840000</x:v>
      </x:c>
      <x:c r="G3" s="22" t="n">
        <x:v>617110459.188875</x:v>
      </x:c>
      <x:c r="H3" s="22" t="n">
        <x:v>413190000</x:v>
      </x:c>
      <x:c r="I3" s="22" t="n">
        <x:v>717937657.8526831</x:v>
      </x:c>
      <x:c r="J3" s="22" t="n">
        <x:f>F3-C3</x:f>
        <x:v>261839800</x:v>
      </x:c>
      <x:c r="K3" s="22" t="n">
        <x:f>G3-C3</x:f>
        <x:v>617110259.188875</x:v>
      </x:c>
      <x:c r="L3" s="22" t="n">
        <x:f>IF(ABS(J3)&lt;1E-15,IF(ABS(K3)&lt;1E-15,1,1E100),K3/J3)</x:f>
        <x:v>2.356823749440975</x:v>
      </x:c>
      <x:c r="M3" s="24" t="n">
        <x:f>ABS(G3-F3)/MAX(ABS(F3),1E-15)</x:f>
        <x:v>1.3568227130647532</x:v>
      </x:c>
      <x:c r="N3" s="22" t="n">
        <x:f>IF(ABS(D3-C3)&lt;1E-15,IF(ABS(E3-C3)&lt;1E-15,1,1E100),(E3-C3)/(D3-C3))</x:f>
        <x:v>0.9879143146591589</x:v>
      </x:c>
      <x:c r="O3" s="22" t="n">
        <x:f>IF(ABS(H3)&lt;1E-15,IF(ABS(I3)&lt;1E-15,1,1E100),I3/H3)</x:f>
        <x:v>1.737548483391861</x:v>
      </x:c>
      <x:c r="P3" s="22" t="n">
        <x:f>G3-F3</x:f>
        <x:v>355270459.18887496</x:v>
      </x:c>
      <x:c r="Q3" s="19" t="str">
        <x:f>IF(AND(L3&gt;=0.8,L3&lt;=1.25),"Close (±25%)",IF(AND(L3&gt;=0.5,L3&lt;=2),"Same order (×0.5–2)",IF(AND(L3&gt;=0.1,L3&lt;=10),"Notable deviation","Major deviation")))</x:f>
        <x:v>Notable deviation</x:v>
      </x:c>
      <x:c r="R3" s="19" t="str">
        <x:v>Mean excess-error &gt;2× paper.</x:v>
      </x:c>
    </x:row>
    <x:row r="4" ht="15" hidden="0" customHeight="1">
      <x:c r="A4" s="19" t="str">
        <x:v>F3</x:v>
      </x:c>
      <x:c r="B4" s="19" t="str">
        <x:v>Unimodal</x:v>
      </x:c>
      <x:c r="C4" s="22" t="n">
        <x:v>300</x:v>
      </x:c>
      <x:c r="D4" s="22" t="n">
        <x:v>1471.2</x:v>
      </x:c>
      <x:c r="E4" s="22" t="n">
        <x:v>2367.781210831409</x:v>
      </x:c>
      <x:c r="F4" s="22" t="n">
        <x:v>11682</x:v>
      </x:c>
      <x:c r="G4" s="22" t="n">
        <x:v>14803.38219698929</x:v>
      </x:c>
      <x:c r="H4" s="22" t="n">
        <x:v>6403.2</x:v>
      </x:c>
      <x:c r="I4" s="22" t="n">
        <x:v>5081.819902636236</x:v>
      </x:c>
      <x:c r="J4" s="22" t="n">
        <x:f>F4-C4</x:f>
        <x:v>11382</x:v>
      </x:c>
      <x:c r="K4" s="22" t="n">
        <x:f>G4-C4</x:f>
        <x:v>14503.38219698929</x:v>
      </x:c>
      <x:c r="L4" s="22" t="n">
        <x:f>IF(ABS(J4)&lt;1E-15,IF(ABS(K4)&lt;1E-15,1,1E101),K4/J4)</x:f>
        <x:v>1.2742384639772704</x:v>
      </x:c>
      <x:c r="M4" s="24" t="n">
        <x:f>ABS(G4-F4)/MAX(ABS(F4),1E-15)</x:f>
        <x:v>0.267195873736457</x:v>
      </x:c>
      <x:c r="N4" s="22" t="n">
        <x:f>IF(ABS(D4-C4)&lt;1E-15,IF(ABS(E4-C4)&lt;1E-15,1,1E101),(E4-C4)/(D4-C4))</x:f>
        <x:v>1.7655235748218998</x:v>
      </x:c>
      <x:c r="O4" s="22" t="n">
        <x:f>IF(ABS(H4)&lt;1E-15,IF(ABS(I4)&lt;1E-15,1,1E101),I4/H4)</x:f>
        <x:v>0.7936375410164037</x:v>
      </x:c>
      <x:c r="P4" s="22" t="n">
        <x:f>G4-F4</x:f>
        <x:v>3121.3821969892906</x:v>
      </x:c>
      <x:c r="Q4" s="19" t="str">
        <x:f>IF(AND(L4&gt;=0.8,L4&lt;=1.25),"Close (±25%)",IF(AND(L4&gt;=0.5,L4&lt;=2),"Same order (×0.5–2)",IF(AND(L4&gt;=0.1,L4&lt;=10),"Notable deviation","Major deviation")))</x:f>
        <x:v>Same order (×0.5–2)</x:v>
      </x:c>
      <x:c r="R4" s="19" t="str"/>
    </x:row>
    <x:row r="5" ht="15" hidden="0" customHeight="1">
      <x:c r="A5" s="19" t="str">
        <x:v>F4</x:v>
      </x:c>
      <x:c r="B5" s="19" t="str">
        <x:v>Simple multimodal</x:v>
      </x:c>
      <x:c r="C5" s="22" t="n">
        <x:v>400</x:v>
      </x:c>
      <x:c r="D5" s="22" t="n">
        <x:v>404.69</x:v>
      </x:c>
      <x:c r="E5" s="22" t="n">
        <x:v>401.77832733601184</x:v>
      </x:c>
      <x:c r="F5" s="22" t="n">
        <x:v>437.64</x:v>
      </x:c>
      <x:c r="G5" s="22" t="n">
        <x:v>459.04075617513837</x:v>
      </x:c>
      <x:c r="H5" s="22" t="n">
        <x:v>28.354</x:v>
      </x:c>
      <x:c r="I5" s="22" t="n">
        <x:v>45.28831935198439</x:v>
      </x:c>
      <x:c r="J5" s="22" t="n">
        <x:f>F5-C5</x:f>
        <x:v>37.639999999999986</x:v>
      </x:c>
      <x:c r="K5" s="22" t="n">
        <x:f>G5-C5</x:f>
        <x:v>59.04075617513837</x:v>
      </x:c>
      <x:c r="L5" s="22" t="n">
        <x:f>IF(ABS(J5)&lt;1E-15,IF(ABS(K5)&lt;1E-15,1,1E102),K5/J5)</x:f>
        <x:v>1.568564191688055</x:v>
      </x:c>
      <x:c r="M5" s="24" t="n">
        <x:f>ABS(G5-F5)/MAX(ABS(F5),1E-15)</x:f>
        <x:v>0.04890036599748283</x:v>
      </x:c>
      <x:c r="N5" s="22" t="n">
        <x:f>IF(ABS(D5-C5)&lt;1E-15,IF(ABS(E5-C5)&lt;1E-15,1,1E102),(E5-C5)/(D5-C5))</x:f>
        <x:v>0.37917427207075527</x:v>
      </x:c>
      <x:c r="O5" s="22" t="n">
        <x:f>IF(ABS(H5)&lt;1E-15,IF(ABS(I5)&lt;1E-15,1,1E102),I5/H5)</x:f>
        <x:v>1.5972462210617335</x:v>
      </x:c>
      <x:c r="P5" s="22" t="n">
        <x:f>G5-F5</x:f>
        <x:v>21.400756175138383</x:v>
      </x:c>
      <x:c r="Q5" s="19" t="str">
        <x:f>IF(AND(L5&gt;=0.8,L5&lt;=1.25),"Close (±25%)",IF(AND(L5&gt;=0.5,L5&lt;=2),"Same order (×0.5–2)",IF(AND(L5&gt;=0.1,L5&lt;=10),"Notable deviation","Major deviation")))</x:f>
        <x:v>Same order (×0.5–2)</x:v>
      </x:c>
      <x:c r="R5" s="19" t="str"/>
    </x:row>
    <x:row r="6" ht="15" hidden="0" customHeight="1">
      <x:c r="A6" s="19" t="str">
        <x:v>F5</x:v>
      </x:c>
      <x:c r="B6" s="19" t="str">
        <x:v>Simple multimodal</x:v>
      </x:c>
      <x:c r="C6" s="22" t="n">
        <x:v>500</x:v>
      </x:c>
      <x:c r="D6" s="22" t="n">
        <x:v>520.28</x:v>
      </x:c>
      <x:c r="E6" s="22" t="n">
        <x:v>520.2452698288237</x:v>
      </x:c>
      <x:c r="F6" s="22" t="n">
        <x:v>520.47</x:v>
      </x:c>
      <x:c r="G6" s="22" t="n">
        <x:v>520.4866195482815</x:v>
      </x:c>
      <x:c r="H6" s="22" t="n">
        <x:v>0.10998</x:v>
      </x:c>
      <x:c r="I6" s="22" t="n">
        <x:v>0.1018496694988032</x:v>
      </x:c>
      <x:c r="J6" s="22" t="n">
        <x:f>F6-C6</x:f>
        <x:v>20.470000000000027</x:v>
      </x:c>
      <x:c r="K6" s="22" t="n">
        <x:f>G6-C6</x:f>
        <x:v>20.48661954828151</x:v>
      </x:c>
      <x:c r="L6" s="22" t="n">
        <x:f>IF(ABS(J6)&lt;1E-15,IF(ABS(K6)&lt;1E-15,1,1E103),K6/J6)</x:f>
        <x:v>1.000811897815412</x:v>
      </x:c>
      <x:c r="M6" s="24" t="n">
        <x:f>ABS(G6-F6)/MAX(ABS(F6),1E-15)</x:f>
        <x:v>0.00003193180832993798</x:v>
      </x:c>
      <x:c r="N6" s="22" t="n">
        <x:f>IF(ABS(D6-C6)&lt;1E-15,IF(ABS(E6-C6)&lt;1E-15,1,1E103),(E6-C6)/(D6-C6))</x:f>
        <x:v>0.9982874669045214</x:v>
      </x:c>
      <x:c r="O6" s="22" t="n">
        <x:f>IF(ABS(H6)&lt;1E-15,IF(ABS(I6)&lt;1E-15,1,1E103),I6/H6)</x:f>
        <x:v>0.9260744635279433</x:v>
      </x:c>
      <x:c r="P6" s="22" t="n">
        <x:f>G6-F6</x:f>
        <x:v>0.01661954828148282</x:v>
      </x:c>
      <x:c r="Q6" s="19" t="str">
        <x:f>IF(AND(L6&gt;=0.8,L6&lt;=1.25),"Close (±25%)",IF(AND(L6&gt;=0.5,L6&lt;=2),"Same order (×0.5–2)",IF(AND(L6&gt;=0.1,L6&lt;=10),"Notable deviation","Major deviation")))</x:f>
        <x:v>Close (±25%)</x:v>
      </x:c>
      <x:c r="R6" s="19" t="str"/>
    </x:row>
    <x:row r="7" ht="15" hidden="0" customHeight="1">
      <x:c r="A7" s="19" t="str">
        <x:v>F6</x:v>
      </x:c>
      <x:c r="B7" s="19" t="str">
        <x:v>Simple multimodal</x:v>
      </x:c>
      <x:c r="C7" s="22" t="n">
        <x:v>600</x:v>
      </x:c>
      <x:c r="D7" s="22" t="n">
        <x:v>601.47</x:v>
      </x:c>
      <x:c r="E7" s="22" t="n">
        <x:v>601.5760334008145</x:v>
      </x:c>
      <x:c r="F7" s="22" t="n">
        <x:v>605.21</x:v>
      </x:c>
      <x:c r="G7" s="22" t="n">
        <x:v>605.7899275577389</x:v>
      </x:c>
      <x:c r="H7" s="22" t="n">
        <x:v>1.8743</x:v>
      </x:c>
      <x:c r="I7" s="22" t="n">
        <x:v>1.6907429170824375</x:v>
      </x:c>
      <x:c r="J7" s="22" t="n">
        <x:f>F7-C7</x:f>
        <x:v>5.210000000000036</x:v>
      </x:c>
      <x:c r="K7" s="22" t="n">
        <x:f>G7-C7</x:f>
        <x:v>5.789927557738906</x:v>
      </x:c>
      <x:c r="L7" s="22" t="n">
        <x:f>IF(ABS(J7)&lt;1E-15,IF(ABS(K7)&lt;1E-15,1,1E104),K7/J7)</x:f>
        <x:v>1.1113104717349072</x:v>
      </x:c>
      <x:c r="M7" s="24" t="n">
        <x:f>ABS(G7-F7)/MAX(ABS(F7),1E-15)</x:f>
        <x:v>0.00095822533953317</x:v>
      </x:c>
      <x:c r="N7" s="22" t="n">
        <x:f>IF(ABS(D7-C7)&lt;1E-15,IF(ABS(E7-C7)&lt;1E-15,1,1E104),(E7-C7)/(D7-C7))</x:f>
        <x:v>1.072131565179899</x:v>
      </x:c>
      <x:c r="O7" s="22" t="n">
        <x:f>IF(ABS(H7)&lt;1E-15,IF(ABS(I7)&lt;1E-15,1,1E104),I7/H7)</x:f>
        <x:v>0.9020663272061236</x:v>
      </x:c>
      <x:c r="P7" s="22" t="n">
        <x:f>G7-F7</x:f>
        <x:v>0.5799275577388698</x:v>
      </x:c>
      <x:c r="Q7" s="19" t="str">
        <x:f>IF(AND(L7&gt;=0.8,L7&lt;=1.25),"Close (±25%)",IF(AND(L7&gt;=0.5,L7&lt;=2),"Same order (×0.5–2)",IF(AND(L7&gt;=0.1,L7&lt;=10),"Notable deviation","Major deviation")))</x:f>
        <x:v>Close (±25%)</x:v>
      </x:c>
      <x:c r="R7" s="19" t="str"/>
    </x:row>
    <x:row r="8" ht="15" hidden="0" customHeight="1">
      <x:c r="A8" s="19" t="str">
        <x:v>F7</x:v>
      </x:c>
      <x:c r="B8" s="19" t="str">
        <x:v>Simple multimodal</x:v>
      </x:c>
      <x:c r="C8" s="22" t="n">
        <x:v>700</x:v>
      </x:c>
      <x:c r="D8" s="22" t="n">
        <x:v>700.91</x:v>
      </x:c>
      <x:c r="E8" s="22" t="n">
        <x:v>701.0359807402466</x:v>
      </x:c>
      <x:c r="F8" s="22" t="n">
        <x:v>708.48</x:v>
      </x:c>
      <x:c r="G8" s="22" t="n">
        <x:v>718.8875530242933</x:v>
      </x:c>
      <x:c r="H8" s="22" t="n">
        <x:v>12.273</x:v>
      </x:c>
      <x:c r="I8" s="22" t="n">
        <x:v>29.360253943685365</x:v>
      </x:c>
      <x:c r="J8" s="22" t="n">
        <x:f>F8-C8</x:f>
        <x:v>8.480000000000018</x:v>
      </x:c>
      <x:c r="K8" s="22" t="n">
        <x:f>G8-C8</x:f>
        <x:v>18.88755302429331</x:v>
      </x:c>
      <x:c r="L8" s="22" t="n">
        <x:f>IF(ABS(J8)&lt;1E-15,IF(ABS(K8)&lt;1E-15,1,1E105),K8/J8)</x:f>
        <x:v>2.2273057811666592</x:v>
      </x:c>
      <x:c r="M8" s="24" t="n">
        <x:f>ABS(G8-F8)/MAX(ABS(F8),1E-15)</x:f>
        <x:v>0.014689974345490759</x:v>
      </x:c>
      <x:c r="N8" s="22" t="n">
        <x:f>IF(ABS(D8-C8)&lt;1E-15,IF(ABS(E8-C8)&lt;1E-15,1,1E105),(E8-C8)/(D8-C8))</x:f>
        <x:v>1.138440373897403</x:v>
      </x:c>
      <x:c r="O8" s="22" t="n">
        <x:f>IF(ABS(H8)&lt;1E-15,IF(ABS(I8)&lt;1E-15,1,1E105),I8/H8)</x:f>
        <x:v>2.392263826585624</x:v>
      </x:c>
      <x:c r="P8" s="22" t="n">
        <x:f>G8-F8</x:f>
        <x:v>10.407553024293293</x:v>
      </x:c>
      <x:c r="Q8" s="19" t="str">
        <x:f>IF(AND(L8&gt;=0.8,L8&lt;=1.25),"Close (±25%)",IF(AND(L8&gt;=0.5,L8&lt;=2),"Same order (×0.5–2)",IF(AND(L8&gt;=0.1,L8&lt;=10),"Notable deviation","Major deviation")))</x:f>
        <x:v>Notable deviation</x:v>
      </x:c>
      <x:c r="R8" s="19" t="str">
        <x:v>Mean excess-error &gt;2× paper.</x:v>
      </x:c>
    </x:row>
    <x:row r="9" ht="15" hidden="0" customHeight="1">
      <x:c r="A9" s="19" t="str">
        <x:v>F8</x:v>
      </x:c>
      <x:c r="B9" s="19" t="str">
        <x:v>Simple multimodal</x:v>
      </x:c>
      <x:c r="C9" s="22" t="n">
        <x:v>800</x:v>
      </x:c>
      <x:c r="D9" s="22" t="n">
        <x:v>805.77</x:v>
      </x:c>
      <x:c r="E9" s="22" t="n">
        <x:v>813.09944526815</x:v>
      </x:c>
      <x:c r="F9" s="22" t="n">
        <x:v>824.87</x:v>
      </x:c>
      <x:c r="G9" s="22" t="n">
        <x:v>831.6380061382962</x:v>
      </x:c>
      <x:c r="H9" s="22" t="n">
        <x:v>10.142</x:v>
      </x:c>
      <x:c r="I9" s="22" t="n">
        <x:v>10.71638423677378</x:v>
      </x:c>
      <x:c r="J9" s="22" t="n">
        <x:f>F9-C9</x:f>
        <x:v>24.870000000000005</x:v>
      </x:c>
      <x:c r="K9" s="22" t="n">
        <x:f>G9-C9</x:f>
        <x:v>31.63800613829619</x:v>
      </x:c>
      <x:c r="L9" s="22" t="n">
        <x:f>IF(ABS(J9)&lt;1E-15,IF(ABS(K9)&lt;1E-15,1,1E106),K9/J9)</x:f>
        <x:v>1.2721353493484595</x:v>
      </x:c>
      <x:c r="M9" s="24" t="n">
        <x:f>ABS(G9-F9)/MAX(ABS(F9),1E-15)</x:f>
        <x:v>0.008204936703112231</x:v>
      </x:c>
      <x:c r="N9" s="22" t="n">
        <x:f>IF(ABS(D9-C9)&lt;1E-15,IF(ABS(E9-C9)&lt;1E-15,1,1E106),(E9-C9)/(D9-C9))</x:f>
        <x:v>2.2702678107712413</x:v>
      </x:c>
      <x:c r="O9" s="22" t="n">
        <x:f>IF(ABS(H9)&lt;1E-15,IF(ABS(I9)&lt;1E-15,1,1E106),I9/H9)</x:f>
        <x:v>1.0566342177848336</x:v>
      </x:c>
      <x:c r="P9" s="22" t="n">
        <x:f>G9-F9</x:f>
        <x:v>6.768006138296187</x:v>
      </x:c>
      <x:c r="Q9" s="19" t="str">
        <x:f>IF(AND(L9&gt;=0.8,L9&lt;=1.25),"Close (±25%)",IF(AND(L9&gt;=0.5,L9&lt;=2),"Same order (×0.5–2)",IF(AND(L9&gt;=0.1,L9&lt;=10),"Notable deviation","Major deviation")))</x:f>
        <x:v>Same order (×0.5–2)</x:v>
      </x:c>
      <x:c r="R9" s="19" t="str"/>
    </x:row>
    <x:row r="10" ht="15" hidden="0" customHeight="1">
      <x:c r="A10" s="19" t="str">
        <x:v>F9</x:v>
      </x:c>
      <x:c r="B10" s="19" t="str">
        <x:v>Simple multimodal</x:v>
      </x:c>
      <x:c r="C10" s="22" t="n">
        <x:v>900</x:v>
      </x:c>
      <x:c r="D10" s="22" t="n">
        <x:v>915.27</x:v>
      </x:c>
      <x:c r="E10" s="22" t="n">
        <x:v>909.918503879428</x:v>
      </x:c>
      <x:c r="F10" s="22" t="n">
        <x:v>931.54</x:v>
      </x:c>
      <x:c r="G10" s="22" t="n">
        <x:v>936.3061569703145</x:v>
      </x:c>
      <x:c r="H10" s="22" t="n">
        <x:v>13.263</x:v>
      </x:c>
      <x:c r="I10" s="22" t="n">
        <x:v>14.413641660359723</x:v>
      </x:c>
      <x:c r="J10" s="22" t="n">
        <x:f>F10-C10</x:f>
        <x:v>31.539999999999964</x:v>
      </x:c>
      <x:c r="K10" s="22" t="n">
        <x:f>G10-C10</x:f>
        <x:v>36.30615697031453</x:v>
      </x:c>
      <x:c r="L10" s="22" t="n">
        <x:f>IF(ABS(J10)&lt;1E-15,IF(ABS(K10)&lt;1E-15,1,1E107),K10/J10)</x:f>
        <x:v>1.151114678830519</x:v>
      </x:c>
      <x:c r="M10" s="24" t="n">
        <x:f>ABS(G10-F10)/MAX(ABS(F10),1E-15)</x:f>
        <x:v>0.005116427604090612</x:v>
      </x:c>
      <x:c r="N10" s="22" t="n">
        <x:f>IF(ABS(D10-C10)&lt;1E-15,IF(ABS(E10-C10)&lt;1E-15,1,1E107),(E10-C10)/(D10-C10))</x:f>
        <x:v>0.6495418388623482</x:v>
      </x:c>
      <x:c r="O10" s="22" t="n">
        <x:f>IF(ABS(H10)&lt;1E-15,IF(ABS(I10)&lt;1E-15,1,1E107),I10/H10)</x:f>
        <x:v>1.086755761167136</x:v>
      </x:c>
      <x:c r="P10" s="22" t="n">
        <x:f>G10-F10</x:f>
        <x:v>4.766156970314569</x:v>
      </x:c>
      <x:c r="Q10" s="19" t="str">
        <x:f>IF(AND(L10&gt;=0.8,L10&lt;=1.25),"Close (±25%)",IF(AND(L10&gt;=0.5,L10&lt;=2),"Same order (×0.5–2)",IF(AND(L10&gt;=0.1,L10&lt;=10),"Notable deviation","Major deviation")))</x:f>
        <x:v>Close (±25%)</x:v>
      </x:c>
      <x:c r="R10" s="19" t="str"/>
    </x:row>
    <x:row r="11" ht="15" hidden="0" customHeight="1">
      <x:c r="A11" s="19" t="str">
        <x:v>F10</x:v>
      </x:c>
      <x:c r="B11" s="19" t="str">
        <x:v>Simple multimodal</x:v>
      </x:c>
      <x:c r="C11" s="22" t="n">
        <x:v>1000</x:v>
      </x:c>
      <x:c r="D11" s="22" t="n">
        <x:v>1085.2</x:v>
      </x:c>
      <x:c r="E11" s="22" t="n">
        <x:v>1185.5987614405803</x:v>
      </x:c>
      <x:c r="F11" s="22" t="n">
        <x:v>1448.4</x:v>
      </x:c>
      <x:c r="G11" s="22" t="n">
        <x:v>1568.7547785654535</x:v>
      </x:c>
      <x:c r="H11" s="22" t="n">
        <x:v>244.38</x:v>
      </x:c>
      <x:c r="I11" s="22" t="n">
        <x:v>245.6307699593116</x:v>
      </x:c>
      <x:c r="J11" s="22" t="n">
        <x:f>F11-C11</x:f>
        <x:v>448.4000000000001</x:v>
      </x:c>
      <x:c r="K11" s="22" t="n">
        <x:f>G11-C11</x:f>
        <x:v>568.7547785654535</x:v>
      </x:c>
      <x:c r="L11" s="22" t="n">
        <x:f>IF(ABS(J11)&lt;1E-15,IF(ABS(K11)&lt;1E-15,1,1E108),K11/J11)</x:f>
        <x:v>1.2684094080407078</x:v>
      </x:c>
      <x:c r="M11" s="24" t="n">
        <x:f>ABS(G11-F11)/MAX(ABS(F11),1E-15)</x:f>
        <x:v>0.08309498658205844</x:v>
      </x:c>
      <x:c r="N11" s="22" t="n">
        <x:f>IF(ABS(D11-C11)&lt;1E-15,IF(ABS(E11-C11)&lt;1E-15,1,1E108),(E11-C11)/(D11-C11))</x:f>
        <x:v>2.1783892187861533</x:v>
      </x:c>
      <x:c r="O11" s="22" t="n">
        <x:f>IF(ABS(H11)&lt;1E-15,IF(ABS(I11)&lt;1E-15,1,1E108),I11/H11)</x:f>
        <x:v>1.005118135523822</x:v>
      </x:c>
      <x:c r="P11" s="22" t="n">
        <x:f>G11-F11</x:f>
        <x:v>120.35477856545344</x:v>
      </x:c>
      <x:c r="Q11" s="19" t="str">
        <x:f>IF(AND(L11&gt;=0.8,L11&lt;=1.25),"Close (±25%)",IF(AND(L11&gt;=0.5,L11&lt;=2),"Same order (×0.5–2)",IF(AND(L11&gt;=0.1,L11&lt;=10),"Notable deviation","Major deviation")))</x:f>
        <x:v>Same order (×0.5–2)</x:v>
      </x:c>
      <x:c r="R11" s="19" t="str"/>
    </x:row>
    <x:row r="12" ht="15" hidden="0" customHeight="1">
      <x:c r="A12" s="19" t="str">
        <x:v>F11</x:v>
      </x:c>
      <x:c r="B12" s="19" t="str">
        <x:v>Simple multimodal</x:v>
      </x:c>
      <x:c r="C12" s="22" t="n">
        <x:v>1100</x:v>
      </x:c>
      <x:c r="D12" s="22" t="n">
        <x:v>1195.8</x:v>
      </x:c>
      <x:c r="E12" s="22" t="n">
        <x:v>1383.3248588673569</x:v>
      </x:c>
      <x:c r="F12" s="22" t="n">
        <x:v>1897.8</x:v>
      </x:c>
      <x:c r="G12" s="22" t="n">
        <x:v>2003.7949202246614</x:v>
      </x:c>
      <x:c r="H12" s="22" t="n">
        <x:v>350.8</x:v>
      </x:c>
      <x:c r="I12" s="22" t="n">
        <x:v>369.5607785810506</x:v>
      </x:c>
      <x:c r="J12" s="22" t="n">
        <x:f>F12-C12</x:f>
        <x:v>797.8</x:v>
      </x:c>
      <x:c r="K12" s="22" t="n">
        <x:f>G12-C12</x:f>
        <x:v>903.7949202246614</x:v>
      </x:c>
      <x:c r="L12" s="22" t="n">
        <x:f>IF(ABS(J12)&lt;1E-15,IF(ABS(K12)&lt;1E-15,1,1E109),K12/J12)</x:f>
        <x:v>1.1328590125653817</x:v>
      </x:c>
      <x:c r="M12" s="24" t="n">
        <x:f>ABS(G12-F12)/MAX(ABS(F12),1E-15)</x:f>
        <x:v>0.05585147024168059</x:v>
      </x:c>
      <x:c r="N12" s="22" t="n">
        <x:f>IF(ABS(D12-C12)&lt;1E-15,IF(ABS(E12-C12)&lt;1E-15,1,1E109),(E12-C12)/(D12-C12))</x:f>
        <x:v>2.9574619923523695</x:v>
      </x:c>
      <x:c r="O12" s="22" t="n">
        <x:f>IF(ABS(H12)&lt;1E-15,IF(ABS(I12)&lt;1E-15,1,1E109),I12/H12)</x:f>
        <x:v>1.0534799845525957</x:v>
      </x:c>
      <x:c r="P12" s="22" t="n">
        <x:f>G12-F12</x:f>
        <x:v>105.99492022466143</x:v>
      </x:c>
      <x:c r="Q12" s="19" t="str">
        <x:f>IF(AND(L12&gt;=0.8,L12&lt;=1.25),"Close (±25%)",IF(AND(L12&gt;=0.5,L12&lt;=2),"Same order (×0.5–2)",IF(AND(L12&gt;=0.1,L12&lt;=10),"Notable deviation","Major deviation")))</x:f>
        <x:v>Close (±25%)</x:v>
      </x:c>
      <x:c r="R12" s="19" t="str"/>
    </x:row>
    <x:row r="13" ht="15" hidden="0" customHeight="1">
      <x:c r="A13" s="19" t="str">
        <x:v>F12</x:v>
      </x:c>
      <x:c r="B13" s="19" t="str">
        <x:v>Simple multimodal</x:v>
      </x:c>
      <x:c r="C13" s="22" t="n">
        <x:v>1200</x:v>
      </x:c>
      <x:c r="D13" s="22" t="n">
        <x:v>1200.4</x:v>
      </x:c>
      <x:c r="E13" s="22" t="n">
        <x:v>1200.3018497614564</x:v>
      </x:c>
      <x:c r="F13" s="22" t="n">
        <x:v>1200.8</x:v>
      </x:c>
      <x:c r="G13" s="22" t="n">
        <x:v>1200.9377738098044</x:v>
      </x:c>
      <x:c r="H13" s="22" t="n">
        <x:v>0.35115</x:v>
      </x:c>
      <x:c r="I13" s="22" t="n">
        <x:v>0.38389750477773665</x:v>
      </x:c>
      <x:c r="J13" s="22" t="n">
        <x:f>F13-C13</x:f>
        <x:v>0.7999999999999545</x:v>
      </x:c>
      <x:c r="K13" s="22" t="n">
        <x:f>G13-C13</x:f>
        <x:v>0.9377738098044119</x:v>
      </x:c>
      <x:c r="L13" s="22" t="n">
        <x:f>IF(ABS(J13)&lt;1E-15,IF(ABS(K13)&lt;1E-15,1,1E110),K13/J13)</x:f>
        <x:v>1.1722172622555815</x:v>
      </x:c>
      <x:c r="M13" s="24" t="n">
        <x:f>ABS(G13-F13)/MAX(ABS(F13),1E-15)</x:f>
        <x:v>0.00011473501815827567</x:v>
      </x:c>
      <x:c r="N13" s="22" t="n">
        <x:f>IF(ABS(D13-C13)&lt;1E-15,IF(ABS(E13-C13)&lt;1E-15,1,1E110),(E13-C13)/(D13-C13))</x:f>
        <x:v>0.7546244036408883</x:v>
      </x:c>
      <x:c r="O13" s="22" t="n">
        <x:f>IF(ABS(H13)&lt;1E-15,IF(ABS(I13)&lt;1E-15,1,1E110),I13/H13)</x:f>
        <x:v>1.0932578806143718</x:v>
      </x:c>
      <x:c r="P13" s="22" t="n">
        <x:f>G13-F13</x:f>
        <x:v>0.13777380980445741</x:v>
      </x:c>
      <x:c r="Q13" s="19" t="str">
        <x:f>IF(AND(L13&gt;=0.8,L13&lt;=1.25),"Close (±25%)",IF(AND(L13&gt;=0.5,L13&lt;=2),"Same order (×0.5–2)",IF(AND(L13&gt;=0.1,L13&lt;=10),"Notable deviation","Major deviation")))</x:f>
        <x:v>Close (±25%)</x:v>
      </x:c>
      <x:c r="R13" s="19" t="str"/>
    </x:row>
    <x:row r="14" ht="15" hidden="0" customHeight="1">
      <x:c r="A14" s="19" t="str">
        <x:v>F13</x:v>
      </x:c>
      <x:c r="B14" s="19" t="str">
        <x:v>Simple multimodal</x:v>
      </x:c>
      <x:c r="C14" s="22" t="n">
        <x:v>1300</x:v>
      </x:c>
      <x:c r="D14" s="22" t="n">
        <x:v>1300.3</x:v>
      </x:c>
      <x:c r="E14" s="22" t="n">
        <x:v>1300.1855348634206</x:v>
      </x:c>
      <x:c r="F14" s="22" t="n">
        <x:v>1300.5</x:v>
      </x:c>
      <x:c r="G14" s="22" t="n">
        <x:v>1300.5870018692317</x:v>
      </x:c>
      <x:c r="H14" s="22" t="n">
        <x:v>0.2083</x:v>
      </x:c>
      <x:c r="I14" s="22" t="n">
        <x:v>0.2101003098643852</x:v>
      </x:c>
      <x:c r="J14" s="22" t="n">
        <x:f>F14-C14</x:f>
        <x:v>0.5</x:v>
      </x:c>
      <x:c r="K14" s="22" t="n">
        <x:f>G14-C14</x:f>
        <x:v>0.587001869231699</x:v>
      </x:c>
      <x:c r="L14" s="22" t="n">
        <x:f>IF(ABS(J14)&lt;1E-15,IF(ABS(K14)&lt;1E-15,1,1E111),K14/J14)</x:f>
        <x:v>1.174003738463398</x:v>
      </x:c>
      <x:c r="M14" s="24" t="n">
        <x:f>ABS(G14-F14)/MAX(ABS(F14),1E-15)</x:f>
        <x:v>0.00006689878449188692</x:v>
      </x:c>
      <x:c r="N14" s="22" t="n">
        <x:f>IF(ABS(D14-C14)&lt;1E-15,IF(ABS(E14-C14)&lt;1E-15,1,1E111),(E14-C14)/(D14-C14))</x:f>
        <x:v>0.6184495447353309</x:v>
      </x:c>
      <x:c r="O14" s="22" t="n">
        <x:f>IF(ABS(H14)&lt;1E-15,IF(ABS(I14)&lt;1E-15,1,1E111),I14/H14)</x:f>
        <x:v>1.0086428702082821</x:v>
      </x:c>
      <x:c r="P14" s="22" t="n">
        <x:f>G14-F14</x:f>
        <x:v>0.08700186923169895</x:v>
      </x:c>
      <x:c r="Q14" s="19" t="str">
        <x:f>IF(AND(L14&gt;=0.8,L14&lt;=1.25),"Close (±25%)",IF(AND(L14&gt;=0.5,L14&lt;=2),"Same order (×0.5–2)",IF(AND(L14&gt;=0.1,L14&lt;=10),"Notable deviation","Major deviation")))</x:f>
        <x:v>Close (±25%)</x:v>
      </x:c>
      <x:c r="R14" s="19" t="str"/>
    </x:row>
    <x:row r="15" ht="15" hidden="0" customHeight="1">
      <x:c r="A15" s="19" t="str">
        <x:v>F14</x:v>
      </x:c>
      <x:c r="B15" s="19" t="str">
        <x:v>Simple multimodal</x:v>
      </x:c>
      <x:c r="C15" s="22" t="n">
        <x:v>1400</x:v>
      </x:c>
      <x:c r="D15" s="22" t="n">
        <x:v>1400.1</x:v>
      </x:c>
      <x:c r="E15" s="22" t="n">
        <x:v>1400.226830295567</x:v>
      </x:c>
      <x:c r="F15" s="22" t="n">
        <x:v>1400.7</x:v>
      </x:c>
      <x:c r="G15" s="22" t="n">
        <x:v>1401.0941991668392</x:v>
      </x:c>
      <x:c r="H15" s="22" t="n">
        <x:v>0.97179</x:v>
      </x:c>
      <x:c r="I15" s="22" t="n">
        <x:v>1.3416016322294853</x:v>
      </x:c>
      <x:c r="J15" s="22" t="n">
        <x:f>F15-C15</x:f>
        <x:v>0.7000000000000455</x:v>
      </x:c>
      <x:c r="K15" s="22" t="n">
        <x:f>G15-C15</x:f>
        <x:v>1.0941991668391893</x:v>
      </x:c>
      <x:c r="L15" s="22" t="n">
        <x:f>IF(ABS(J15)&lt;1E-15,IF(ABS(K15)&lt;1E-15,1,1E112),K15/J15)</x:f>
        <x:v>1.563141666913026</x:v>
      </x:c>
      <x:c r="M15" s="24" t="n">
        <x:f>ABS(G15-F15)/MAX(ABS(F15),1E-15)</x:f>
        <x:v>0.0002814301183973326</x:v>
      </x:c>
      <x:c r="N15" s="22" t="n">
        <x:f>IF(ABS(D15-C15)&lt;1E-15,IF(ABS(E15-C15)&lt;1E-15,1,1E112),(E15-C15)/(D15-C15))</x:f>
        <x:v>2.2683029556717593</x:v>
      </x:c>
      <x:c r="O15" s="22" t="n">
        <x:f>IF(ABS(H15)&lt;1E-15,IF(ABS(I15)&lt;1E-15,1,1E112),I15/H15)</x:f>
        <x:v>1.380546859125413</x:v>
      </x:c>
      <x:c r="P15" s="22" t="n">
        <x:f>G15-F15</x:f>
        <x:v>0.3941991668391438</x:v>
      </x:c>
      <x:c r="Q15" s="19" t="str">
        <x:f>IF(AND(L15&gt;=0.8,L15&lt;=1.25),"Close (±25%)",IF(AND(L15&gt;=0.5,L15&lt;=2),"Same order (×0.5–2)",IF(AND(L15&gt;=0.1,L15&lt;=10),"Notable deviation","Major deviation")))</x:f>
        <x:v>Same order (×0.5–2)</x:v>
      </x:c>
      <x:c r="R15" s="19" t="str"/>
    </x:row>
    <x:row r="16" ht="15" hidden="0" customHeight="1">
      <x:c r="A16" s="19" t="str">
        <x:v>F15</x:v>
      </x:c>
      <x:c r="B16" s="19" t="str">
        <x:v>Simple multimodal</x:v>
      </x:c>
      <x:c r="C16" s="22" t="n">
        <x:v>1500</x:v>
      </x:c>
      <x:c r="D16" s="22" t="n">
        <x:v>1501.7</x:v>
      </x:c>
      <x:c r="E16" s="22" t="n">
        <x:v>1503.0640652646694</x:v>
      </x:c>
      <x:c r="F16" s="22" t="n">
        <x:v>1507.5</x:v>
      </x:c>
      <x:c r="G16" s="22" t="n">
        <x:v>1537.253380027974</x:v>
      </x:c>
      <x:c r="H16" s="22" t="n">
        <x:v>11.348</x:v>
      </x:c>
      <x:c r="I16" s="22" t="n">
        <x:v>107.0350339746745</x:v>
      </x:c>
      <x:c r="J16" s="22" t="n">
        <x:f>F16-C16</x:f>
        <x:v>7.5</x:v>
      </x:c>
      <x:c r="K16" s="22" t="n">
        <x:f>G16-C16</x:f>
        <x:v>37.25338002797389</x:v>
      </x:c>
      <x:c r="L16" s="22" t="n">
        <x:f>IF(ABS(J16)&lt;1E-15,IF(ABS(K16)&lt;1E-15,1,1E113),K16/J16)</x:f>
        <x:v>4.967117337063185</x:v>
      </x:c>
      <x:c r="M16" s="24" t="n">
        <x:f>ABS(G16-F16)/MAX(ABS(F16),1E-15)</x:f>
        <x:v>0.019736902174443707</x:v>
      </x:c>
      <x:c r="N16" s="22" t="n">
        <x:f>IF(ABS(D16-C16)&lt;1E-15,IF(ABS(E16-C16)&lt;1E-15,1,1E113),(E16-C16)/(D16-C16))</x:f>
        <x:v>1.8023913321583944</x:v>
      </x:c>
      <x:c r="O16" s="22" t="n">
        <x:f>IF(ABS(H16)&lt;1E-15,IF(ABS(I16)&lt;1E-15,1,1E113),I16/H16)</x:f>
        <x:v>9.432061506404168</x:v>
      </x:c>
      <x:c r="P16" s="22" t="n">
        <x:f>G16-F16</x:f>
        <x:v>29.75338002797389</x:v>
      </x:c>
      <x:c r="Q16" s="19" t="str">
        <x:f>IF(AND(L16&gt;=0.8,L16&lt;=1.25),"Close (±25%)",IF(AND(L16&gt;=0.5,L16&lt;=2),"Same order (×0.5–2)",IF(AND(L16&gt;=0.1,L16&lt;=10),"Notable deviation","Major deviation")))</x:f>
        <x:v>Notable deviation</x:v>
      </x:c>
      <x:c r="R16" s="19" t="str">
        <x:v>Mean excess-error &gt;2× paper.</x:v>
      </x:c>
    </x:row>
    <x:row r="17" ht="15" hidden="0" customHeight="1">
      <x:c r="A17" s="19" t="str">
        <x:v>F16</x:v>
      </x:c>
      <x:c r="B17" s="19" t="str">
        <x:v>Simple multimodal</x:v>
      </x:c>
      <x:c r="C17" s="22" t="n">
        <x:v>1600</x:v>
      </x:c>
      <x:c r="D17" s="22" t="n">
        <x:v>1602.3</x:v>
      </x:c>
      <x:c r="E17" s="22" t="n">
        <x:v>1602.7248680470439</x:v>
      </x:c>
      <x:c r="F17" s="22" t="n">
        <x:v>1603.3</x:v>
      </x:c>
      <x:c r="G17" s="22" t="n">
        <x:v>1603.43457325369</x:v>
      </x:c>
      <x:c r="H17" s="22" t="n">
        <x:v>0.50955</x:v>
      </x:c>
      <x:c r="I17" s="22" t="n">
        <x:v>0.2778351630300841</x:v>
      </x:c>
      <x:c r="J17" s="22" t="n">
        <x:f>F17-C17</x:f>
        <x:v>3.2999999999999545</x:v>
      </x:c>
      <x:c r="K17" s="22" t="n">
        <x:f>G17-C17</x:f>
        <x:v>3.434573253689905</x:v>
      </x:c>
      <x:c r="L17" s="22" t="n">
        <x:f>IF(ABS(J17)&lt;1E-15,IF(ABS(K17)&lt;1E-15,1,1E114),K17/J17)</x:f>
        <x:v>1.04077977384544</x:v>
      </x:c>
      <x:c r="M17" s="24" t="n">
        <x:f>ABS(G17-F17)/MAX(ABS(F17),1E-15)</x:f>
        <x:v>0.00008393516727371699</x:v>
      </x:c>
      <x:c r="N17" s="22" t="n">
        <x:f>IF(ABS(D17-C17)&lt;1E-15,IF(ABS(E17-C17)&lt;1E-15,1,1E114),(E17-C17)/(D17-C17))</x:f>
        <x:v>1.184725237845178</x:v>
      </x:c>
      <x:c r="O17" s="22" t="n">
        <x:f>IF(ABS(H17)&lt;1E-15,IF(ABS(I17)&lt;1E-15,1,1E114),I17/H17)</x:f>
        <x:v>0.5452559376510335</x:v>
      </x:c>
      <x:c r="P17" s="22" t="n">
        <x:f>G17-F17</x:f>
        <x:v>0.13457325368995043</x:v>
      </x:c>
      <x:c r="Q17" s="19" t="str">
        <x:f>IF(AND(L17&gt;=0.8,L17&lt;=1.25),"Close (±25%)",IF(AND(L17&gt;=0.5,L17&lt;=2),"Same order (×0.5–2)",IF(AND(L17&gt;=0.1,L17&lt;=10),"Notable deviation","Major deviation")))</x:f>
        <x:v>Close (±25%)</x:v>
      </x:c>
      <x:c r="R17" s="19" t="str"/>
    </x:row>
    <x:row r="18" ht="15" hidden="0" customHeight="1">
      <x:c r="A18" s="19" t="str">
        <x:v>F17</x:v>
      </x:c>
      <x:c r="B18" s="19" t="str">
        <x:v>Hybrid</x:v>
      </x:c>
      <x:c r="C18" s="22" t="n">
        <x:v>1700</x:v>
      </x:c>
      <x:c r="D18" s="22" t="n">
        <x:v>3101.4</x:v>
      </x:c>
      <x:c r="E18" s="22" t="n">
        <x:v>2735.470314533587</x:v>
      </x:c>
      <x:c r="F18" s="22" t="n">
        <x:v>181040</x:v>
      </x:c>
      <x:c r="G18" s="22" t="n">
        <x:v>289092.1622991387</x:v>
      </x:c>
      <x:c r="H18" s="22" t="n">
        <x:v>247500</x:v>
      </x:c>
      <x:c r="I18" s="22" t="n">
        <x:v>274209.61735440604</x:v>
      </x:c>
      <x:c r="J18" s="22" t="n">
        <x:f>F18-C18</x:f>
        <x:v>179340</x:v>
      </x:c>
      <x:c r="K18" s="22" t="n">
        <x:f>G18-C18</x:f>
        <x:v>287392.1622991387</x:v>
      </x:c>
      <x:c r="L18" s="22" t="n">
        <x:f>IF(ABS(J18)&lt;1E-15,IF(ABS(K18)&lt;1E-15,1,1E115),K18/J18)</x:f>
        <x:v>1.6024989533798302</x:v>
      </x:c>
      <x:c r="M18" s="24" t="n">
        <x:f>ABS(G18-F18)/MAX(ABS(F18),1E-15)</x:f>
        <x:v>0.5968413737248052</x:v>
      </x:c>
      <x:c r="N18" s="22" t="n">
        <x:f>IF(ABS(D18-C18)&lt;1E-15,IF(ABS(E18-C18)&lt;1E-15,1,1E115),(E18-C18)/(D18-C18))</x:f>
        <x:v>0.7388827704678086</x:v>
      </x:c>
      <x:c r="O18" s="22" t="n">
        <x:f>IF(ABS(H18)&lt;1E-15,IF(ABS(I18)&lt;1E-15,1,1E115),I18/H18)</x:f>
        <x:v>1.107917645876388</x:v>
      </x:c>
      <x:c r="P18" s="22" t="n">
        <x:f>G18-F18</x:f>
        <x:v>108052.16229913873</x:v>
      </x:c>
      <x:c r="Q18" s="19" t="str">
        <x:f>IF(AND(L18&gt;=0.8,L18&lt;=1.25),"Close (±25%)",IF(AND(L18&gt;=0.5,L18&lt;=2),"Same order (×0.5–2)",IF(AND(L18&gt;=0.1,L18&lt;=10),"Notable deviation","Major deviation")))</x:f>
        <x:v>Same order (×0.5–2)</x:v>
      </x:c>
      <x:c r="R18" s="19" t="str"/>
    </x:row>
    <x:row r="19" ht="15" hidden="0" customHeight="1">
      <x:c r="A19" s="19" t="str">
        <x:v>F18</x:v>
      </x:c>
      <x:c r="B19" s="19" t="str">
        <x:v>Hybrid</x:v>
      </x:c>
      <x:c r="C19" s="22" t="n">
        <x:v>1800</x:v>
      </x:c>
      <x:c r="D19" s="22" t="n">
        <x:v>2071.4</x:v>
      </x:c>
      <x:c r="E19" s="22" t="n">
        <x:v>1966.7525900920843</x:v>
      </x:c>
      <x:c r="F19" s="22" t="n">
        <x:v>7958.8</x:v>
      </x:c>
      <x:c r="G19" s="22" t="n">
        <x:v>12977.986351513968</x:v>
      </x:c>
      <x:c r="H19" s="22" t="n">
        <x:v>6597.1</x:v>
      </x:c>
      <x:c r="I19" s="22" t="n">
        <x:v>10732.255280434942</x:v>
      </x:c>
      <x:c r="J19" s="22" t="n">
        <x:f>F19-C19</x:f>
        <x:v>6158.8</x:v>
      </x:c>
      <x:c r="K19" s="22" t="n">
        <x:f>G19-C19</x:f>
        <x:v>11177.986351513968</x:v>
      </x:c>
      <x:c r="L19" s="22" t="n">
        <x:f>IF(ABS(J19)&lt;1E-15,IF(ABS(K19)&lt;1E-15,1,1E116),K19/J19)</x:f>
        <x:v>1.8149617379219924</x:v>
      </x:c>
      <x:c r="M19" s="24" t="n">
        <x:f>ABS(G19-F19)/MAX(ABS(F19),1E-15)</x:f>
        <x:v>0.6306461214647896</x:v>
      </x:c>
      <x:c r="N19" s="22" t="n">
        <x:f>IF(ABS(D19-C19)&lt;1E-15,IF(ABS(E19-C19)&lt;1E-15,1,1E116),(E19-C19)/(D19-C19))</x:f>
        <x:v>0.6144163231101116</x:v>
      </x:c>
      <x:c r="O19" s="22" t="n">
        <x:f>IF(ABS(H19)&lt;1E-15,IF(ABS(I19)&lt;1E-15,1,1E116),I19/H19)</x:f>
        <x:v>1.6268140971692018</x:v>
      </x:c>
      <x:c r="P19" s="22" t="n">
        <x:f>G19-F19</x:f>
        <x:v>5019.186351513968</x:v>
      </x:c>
      <x:c r="Q19" s="19" t="str">
        <x:f>IF(AND(L19&gt;=0.8,L19&lt;=1.25),"Close (±25%)",IF(AND(L19&gt;=0.5,L19&lt;=2),"Same order (×0.5–2)",IF(AND(L19&gt;=0.1,L19&lt;=10),"Notable deviation","Major deviation")))</x:f>
        <x:v>Same order (×0.5–2)</x:v>
      </x:c>
      <x:c r="R19" s="19" t="str"/>
    </x:row>
    <x:row r="20" ht="15" hidden="0" customHeight="1">
      <x:c r="A20" s="19" t="str">
        <x:v>F19</x:v>
      </x:c>
      <x:c r="B20" s="19" t="str">
        <x:v>Hybrid</x:v>
      </x:c>
      <x:c r="C20" s="22" t="n">
        <x:v>1900</x:v>
      </x:c>
      <x:c r="D20" s="22" t="n">
        <x:v>1902</x:v>
      </x:c>
      <x:c r="E20" s="22" t="n">
        <x:v>1901.67959619937</x:v>
      </x:c>
      <x:c r="F20" s="22" t="n">
        <x:v>1903.7</x:v>
      </x:c>
      <x:c r="G20" s="22" t="n">
        <x:v>1907.3968963066727</x:v>
      </x:c>
      <x:c r="H20" s="22" t="n">
        <x:v>1.3994</x:v>
      </x:c>
      <x:c r="I20" s="22" t="n">
        <x:v>12.977430931423978</x:v>
      </x:c>
      <x:c r="J20" s="22" t="n">
        <x:f>F20-C20</x:f>
        <x:v>3.7000000000000455</x:v>
      </x:c>
      <x:c r="K20" s="22" t="n">
        <x:f>G20-C20</x:f>
        <x:v>7.396896306672716</x:v>
      </x:c>
      <x:c r="L20" s="22" t="n">
        <x:f>IF(ABS(J20)&lt;1E-15,IF(ABS(K20)&lt;1E-15,1,1E117),K20/J20)</x:f>
        <x:v>1.9991611639655742</x:v>
      </x:c>
      <x:c r="M20" s="24" t="n">
        <x:f>ABS(G20-F20)/MAX(ABS(F20),1E-15)</x:f>
        <x:v>0.0019419531999121027</x:v>
      </x:c>
      <x:c r="N20" s="22" t="n">
        <x:f>IF(ABS(D20-C20)&lt;1E-15,IF(ABS(E20-C20)&lt;1E-15,1,1E117),(E20-C20)/(D20-C20))</x:f>
        <x:v>0.8397980996850265</x:v>
      </x:c>
      <x:c r="O20" s="22" t="n">
        <x:f>IF(ABS(H20)&lt;1E-15,IF(ABS(I20)&lt;1E-15,1,1E117),I20/H20)</x:f>
        <x:v>9.27356790869228</x:v>
      </x:c>
      <x:c r="P20" s="22" t="n">
        <x:f>G20-F20</x:f>
        <x:v>3.69689630667267</x:v>
      </x:c>
      <x:c r="Q20" s="19" t="str">
        <x:f>IF(AND(L20&gt;=0.8,L20&lt;=1.25),"Close (±25%)",IF(AND(L20&gt;=0.5,L20&lt;=2),"Same order (×0.5–2)",IF(AND(L20&gt;=0.1,L20&lt;=10),"Notable deviation","Major deviation")))</x:f>
        <x:v>Same order (×0.5–2)</x:v>
      </x:c>
      <x:c r="R20" s="19" t="str"/>
    </x:row>
    <x:row r="21" ht="15" hidden="0" customHeight="1">
      <x:c r="A21" s="19" t="str">
        <x:v>F20</x:v>
      </x:c>
      <x:c r="B21" s="19" t="str">
        <x:v>Hybrid</x:v>
      </x:c>
      <x:c r="C21" s="22" t="n">
        <x:v>2000</x:v>
      </x:c>
      <x:c r="D21" s="22" t="n">
        <x:v>2363.3</x:v>
      </x:c>
      <x:c r="E21" s="22" t="n">
        <x:v>2128.0524729115227</x:v>
      </x:c>
      <x:c r="F21" s="22" t="n">
        <x:v>8303.1</x:v>
      </x:c>
      <x:c r="G21" s="22" t="n">
        <x:v>13337.749288588953</x:v>
      </x:c>
      <x:c r="H21" s="22" t="n">
        <x:v>6794.5</x:v>
      </x:c>
      <x:c r="I21" s="22" t="n">
        <x:v>8260.092650677527</x:v>
      </x:c>
      <x:c r="J21" s="22" t="n">
        <x:f>F21-C21</x:f>
        <x:v>6303.1</x:v>
      </x:c>
      <x:c r="K21" s="22" t="n">
        <x:f>G21-C21</x:f>
        <x:v>11337.749288588953</x:v>
      </x:c>
      <x:c r="L21" s="22" t="n">
        <x:f>IF(ABS(J21)&lt;1E-15,IF(ABS(K21)&lt;1E-15,1,1E118),K21/J21)</x:f>
        <x:v>1.7987576412541373</x:v>
      </x:c>
      <x:c r="M21" s="24" t="n">
        <x:f>ABS(G21-F21)/MAX(ABS(F21),1E-15)</x:f>
        <x:v>0.6063577806589048</x:v>
      </x:c>
      <x:c r="N21" s="22" t="n">
        <x:f>IF(ABS(D21-C21)&lt;1E-15,IF(ABS(E21-C21)&lt;1E-15,1,1E118),(E21-C21)/(D21-C21))</x:f>
        <x:v>0.3524703355670869</x:v>
      </x:c>
      <x:c r="O21" s="22" t="n">
        <x:f>IF(ABS(H21)&lt;1E-15,IF(ABS(I21)&lt;1E-15,1,1E118),I21/H21)</x:f>
        <x:v>1.2157027964791414</x:v>
      </x:c>
      <x:c r="P21" s="22" t="n">
        <x:f>G21-F21</x:f>
        <x:v>5034.649288588953</x:v>
      </x:c>
      <x:c r="Q21" s="19" t="str">
        <x:f>IF(AND(L21&gt;=0.8,L21&lt;=1.25),"Close (±25%)",IF(AND(L21&gt;=0.5,L21&lt;=2),"Same order (×0.5–2)",IF(AND(L21&gt;=0.1,L21&lt;=10),"Notable deviation","Major deviation")))</x:f>
        <x:v>Same order (×0.5–2)</x:v>
      </x:c>
      <x:c r="R21" s="19" t="str"/>
    </x:row>
    <x:row r="22" ht="15" hidden="0" customHeight="1">
      <x:c r="A22" s="19" t="str">
        <x:v>F21</x:v>
      </x:c>
      <x:c r="B22" s="19" t="str">
        <x:v>Hybrid</x:v>
      </x:c>
      <x:c r="C22" s="22" t="n">
        <x:v>2100</x:v>
      </x:c>
      <x:c r="D22" s="22" t="n">
        <x:v>2673.1</x:v>
      </x:c>
      <x:c r="E22" s="22" t="n">
        <x:v>2487.166033065017</x:v>
      </x:c>
      <x:c r="F22" s="22" t="n">
        <x:v>10567</x:v>
      </x:c>
      <x:c r="G22" s="22" t="n">
        <x:v>573062.1203783437</x:v>
      </x:c>
      <x:c r="H22" s="22" t="n">
        <x:v>6877.3</x:v>
      </x:c>
      <x:c r="I22" s="22" t="n">
        <x:v>2969010.5346857244</x:v>
      </x:c>
      <x:c r="J22" s="22" t="n">
        <x:f>F22-C22</x:f>
        <x:v>8467</x:v>
      </x:c>
      <x:c r="K22" s="22" t="n">
        <x:f>G22-C22</x:f>
        <x:v>570962.1203783437</x:v>
      </x:c>
      <x:c r="L22" s="22" t="n">
        <x:f>IF(ABS(J22)&lt;1E-15,IF(ABS(K22)&lt;1E-15,1,1E119),K22/J22)</x:f>
        <x:v>67.4338160361809</x:v>
      </x:c>
      <x:c r="M22" s="24" t="n">
        <x:f>ABS(G22-F22)/MAX(ABS(F22),1E-15)</x:f>
        <x:v>53.2312974712164</x:v>
      </x:c>
      <x:c r="N22" s="22" t="n">
        <x:f>IF(ABS(D22-C22)&lt;1E-15,IF(ABS(E22-C22)&lt;1E-15,1,1E119),(E22-C22)/(D22-C22))</x:f>
        <x:v>0.6755645316088241</x:v>
      </x:c>
      <x:c r="O22" s="22" t="n">
        <x:f>IF(ABS(H22)&lt;1E-15,IF(ABS(I22)&lt;1E-15,1,1E119),I22/H22)</x:f>
        <x:v>431.71165060208574</x:v>
      </x:c>
      <x:c r="P22" s="22" t="n">
        <x:f>G22-F22</x:f>
        <x:v>562495.1203783437</x:v>
      </x:c>
      <x:c r="Q22" s="19" t="str">
        <x:f>IF(AND(L22&gt;=0.8,L22&lt;=1.25),"Close (±25%)",IF(AND(L22&gt;=0.5,L22&lt;=2),"Same order (×0.5–2)",IF(AND(L22&gt;=0.1,L22&lt;=10),"Notable deviation","Major deviation")))</x:f>
        <x:v>Major deviation</x:v>
      </x:c>
      <x:c r="R22" s="19" t="str">
        <x:v>Major instability/outlier effect; mean excess-error ~67× paper.</x:v>
      </x:c>
    </x:row>
    <x:row r="23" ht="15" hidden="0" customHeight="1">
      <x:c r="A23" s="19" t="str">
        <x:v>F22</x:v>
      </x:c>
      <x:c r="B23" s="19" t="str">
        <x:v>Hybrid</x:v>
      </x:c>
      <x:c r="C23" s="22" t="n">
        <x:v>2200</x:v>
      </x:c>
      <x:c r="D23" s="22" t="n">
        <x:v>2226.8</x:v>
      </x:c>
      <x:c r="E23" s="22" t="n">
        <x:v>2227.915739672633</x:v>
      </x:c>
      <x:c r="F23" s="22" t="n">
        <x:v>2325.5</x:v>
      </x:c>
      <x:c r="G23" s="22" t="n">
        <x:v>2357.965381200053</x:v>
      </x:c>
      <x:c r="H23" s="22" t="n">
        <x:v>85.554</x:v>
      </x:c>
      <x:c r="I23" s="22" t="n">
        <x:v>85.81880034502854</x:v>
      </x:c>
      <x:c r="J23" s="22" t="n">
        <x:f>F23-C23</x:f>
        <x:v>125.5</x:v>
      </x:c>
      <x:c r="K23" s="22" t="n">
        <x:f>G23-C23</x:f>
        <x:v>157.9653812000529</x:v>
      </x:c>
      <x:c r="L23" s="22" t="n">
        <x:f>IF(ABS(J23)&lt;1E-15,IF(ABS(K23)&lt;1E-15,1,1E120),K23/J23)</x:f>
        <x:v>1.258688296414764</x:v>
      </x:c>
      <x:c r="M23" s="24" t="n">
        <x:f>ABS(G23-F23)/MAX(ABS(F23),1E-15)</x:f>
        <x:v>0.013960602537111542</x:v>
      </x:c>
      <x:c r="N23" s="22" t="n">
        <x:f>IF(ABS(D23-C23)&lt;1E-15,IF(ABS(E23-C23)&lt;1E-15,1,1E120),(E23-C23)/(D23-C23))</x:f>
        <x:v>1.0416320773370529</x:v>
      </x:c>
      <x:c r="O23" s="22" t="n">
        <x:f>IF(ABS(H23)&lt;1E-15,IF(ABS(I23)&lt;1E-15,1,1E120),I23/H23)</x:f>
        <x:v>1.0030951252428704</x:v>
      </x:c>
      <x:c r="P23" s="22" t="n">
        <x:f>G23-F23</x:f>
        <x:v>32.46538120005289</x:v>
      </x:c>
      <x:c r="Q23" s="19" t="str">
        <x:f>IF(AND(L23&gt;=0.8,L23&lt;=1.25),"Close (±25%)",IF(AND(L23&gt;=0.5,L23&lt;=2),"Same order (×0.5–2)",IF(AND(L23&gt;=0.1,L23&lt;=10),"Notable deviation","Major deviation")))</x:f>
        <x:v>Same order (×0.5–2)</x:v>
      </x:c>
      <x:c r="R23" s="19" t="str"/>
    </x:row>
    <x:row r="24" ht="15" hidden="0" customHeight="1">
      <x:c r="A24" s="19" t="str">
        <x:v>F23</x:v>
      </x:c>
      <x:c r="B24" s="19" t="str">
        <x:v>Composition</x:v>
      </x:c>
      <x:c r="C24" s="22" t="n">
        <x:v>2300</x:v>
      </x:c>
      <x:c r="D24" s="22" t="n">
        <x:v>2311.8</x:v>
      </x:c>
      <x:c r="E24" s="22" t="n">
        <x:v>2500</x:v>
      </x:c>
      <x:c r="F24" s="22" t="n">
        <x:v>2493.7</x:v>
      </x:c>
      <x:c r="G24" s="22" t="n">
        <x:v>2500</x:v>
      </x:c>
      <x:c r="H24" s="22" t="n">
        <x:v>34.361</x:v>
      </x:c>
      <x:c r="I24" s="22" t="n">
        <x:v>0</x:v>
      </x:c>
      <x:c r="J24" s="22" t="n">
        <x:f>F24-C24</x:f>
        <x:v>193.69999999999982</x:v>
      </x:c>
      <x:c r="K24" s="22" t="n">
        <x:f>G24-C24</x:f>
        <x:v>200</x:v>
      </x:c>
      <x:c r="L24" s="22" t="n">
        <x:f>IF(ABS(J24)&lt;1E-15,IF(ABS(K24)&lt;1E-15,1,1E121),K24/J24)</x:f>
        <x:v>1.0325245224574093</x:v>
      </x:c>
      <x:c r="M24" s="24" t="n">
        <x:f>ABS(G24-F24)/MAX(ABS(F24),1E-15)</x:f>
        <x:v>0.0025263664434375353</x:v>
      </x:c>
      <x:c r="N24" s="22" t="n">
        <x:f>IF(ABS(D24-C24)&lt;1E-15,IF(ABS(E24-C24)&lt;1E-15,1,1E121),(E24-C24)/(D24-C24))</x:f>
        <x:v>16.94915254237262</x:v>
      </x:c>
      <x:c r="O24" s="22" t="n">
        <x:f>IF(ABS(H24)&lt;1E-15,IF(ABS(I24)&lt;1E-15,1,1E121),I24/H24)</x:f>
        <x:v>0</x:v>
      </x:c>
      <x:c r="P24" s="22" t="n">
        <x:f>G24-F24</x:f>
        <x:v>6.300000000000182</x:v>
      </x:c>
      <x:c r="Q24" s="19" t="str">
        <x:f>IF(AND(L24&gt;=0.8,L24&lt;=1.25),"Close (±25%)",IF(AND(L24&gt;=0.5,L24&lt;=2),"Same order (×0.5–2)",IF(AND(L24&gt;=0.1,L24&lt;=10),"Notable deviation","Major deviation")))</x:f>
        <x:v>Close (±25%)</x:v>
      </x:c>
      <x:c r="R24" s="19" t="str">
        <x:v>Our 30 runs all ended at 2500 (STD=0); paper Best=2311.8, STD&gt;0.</x:v>
      </x:c>
    </x:row>
    <x:row r="25" ht="15" hidden="0" customHeight="1">
      <x:c r="A25" s="19" t="str">
        <x:v>F24</x:v>
      </x:c>
      <x:c r="B25" s="19" t="str">
        <x:v>Composition</x:v>
      </x:c>
      <x:c r="C25" s="22" t="n">
        <x:v>2400</x:v>
      </x:c>
      <x:c r="D25" s="22" t="n">
        <x:v>2524.3</x:v>
      </x:c>
      <x:c r="E25" s="22" t="n">
        <x:v>2518.3012840727633</x:v>
      </x:c>
      <x:c r="F25" s="22" t="n">
        <x:v>2560.1</x:v>
      </x:c>
      <x:c r="G25" s="22" t="n">
        <x:v>2570.406575012411</x:v>
      </x:c>
      <x:c r="H25" s="22" t="n">
        <x:v>26.101</x:v>
      </x:c>
      <x:c r="I25" s="22" t="n">
        <x:v>27.991089486057557</x:v>
      </x:c>
      <x:c r="J25" s="22" t="n">
        <x:f>F25-C25</x:f>
        <x:v>160.0999999999999</x:v>
      </x:c>
      <x:c r="K25" s="22" t="n">
        <x:f>G25-C25</x:f>
        <x:v>170.40657501241094</x:v>
      </x:c>
      <x:c r="L25" s="22" t="n">
        <x:f>IF(ABS(J25)&lt;1E-15,IF(ABS(K25)&lt;1E-15,1,1E122),K25/J25)</x:f>
        <x:v>1.0643758589157466</x:v>
      </x:c>
      <x:c r="M25" s="24" t="n">
        <x:f>ABS(G25-F25)/MAX(ABS(F25),1E-15)</x:f>
        <x:v>0.004025848604511945</x:v>
      </x:c>
      <x:c r="N25" s="22" t="n">
        <x:f>IF(ABS(D25-C25)&lt;1E-15,IF(ABS(E25-C25)&lt;1E-15,1,1E122),(E25-C25)/(D25-C25))</x:f>
        <x:v>0.951740016675488</x:v>
      </x:c>
      <x:c r="O25" s="22" t="n">
        <x:f>IF(ABS(H25)&lt;1E-15,IF(ABS(I25)&lt;1E-15,1,1E122),I25/H25)</x:f>
        <x:v>1.0724144471881367</x:v>
      </x:c>
      <x:c r="P25" s="22" t="n">
        <x:f>G25-F25</x:f>
        <x:v>10.306575012411031</x:v>
      </x:c>
      <x:c r="Q25" s="19" t="str">
        <x:f>IF(AND(L25&gt;=0.8,L25&lt;=1.25),"Close (±25%)",IF(AND(L25&gt;=0.5,L25&lt;=2),"Same order (×0.5–2)",IF(AND(L25&gt;=0.1,L25&lt;=10),"Notable deviation","Major deviation")))</x:f>
        <x:v>Close (±25%)</x:v>
      </x:c>
      <x:c r="R25" s="19" t="str"/>
    </x:row>
    <x:row r="26" ht="15" hidden="0" customHeight="1">
      <x:c r="A26" s="19" t="str">
        <x:v>F25</x:v>
      </x:c>
      <x:c r="B26" s="19" t="str">
        <x:v>Composition</x:v>
      </x:c>
      <x:c r="C26" s="22" t="n">
        <x:v>2500</x:v>
      </x:c>
      <x:c r="D26" s="22" t="n">
        <x:v>2650.7</x:v>
      </x:c>
      <x:c r="E26" s="22" t="n">
        <x:v>2667.418100451912</x:v>
      </x:c>
      <x:c r="F26" s="22" t="n">
        <x:v>2694.3</x:v>
      </x:c>
      <x:c r="G26" s="22" t="n">
        <x:v>2697.7398498122143</x:v>
      </x:c>
      <x:c r="H26" s="22" t="n">
        <x:v>10.98</x:v>
      </x:c>
      <x:c r="I26" s="22" t="n">
        <x:v>6.400587605719195</x:v>
      </x:c>
      <x:c r="J26" s="22" t="n">
        <x:f>F26-C26</x:f>
        <x:v>194.30000000000018</x:v>
      </x:c>
      <x:c r="K26" s="22" t="n">
        <x:f>G26-C26</x:f>
        <x:v>197.7398498122143</x:v>
      </x:c>
      <x:c r="L26" s="22" t="n">
        <x:f>IF(ABS(J26)&lt;1E-15,IF(ABS(K26)&lt;1E-15,1,1E123),K26/J26)</x:f>
        <x:v>1.0177038075770155</x:v>
      </x:c>
      <x:c r="M26" s="24" t="n">
        <x:f>ABS(G26-F26)/MAX(ABS(F26),1E-15)</x:f>
        <x:v>0.0012767137335167227</x:v>
      </x:c>
      <x:c r="N26" s="22" t="n">
        <x:f>IF(ABS(D26-C26)&lt;1E-15,IF(ABS(E26-C26)&lt;1E-15,1,1E123),(E26-C26)/(D26-C26))</x:f>
        <x:v>1.1109363002781159</x:v>
      </x:c>
      <x:c r="O26" s="22" t="n">
        <x:f>IF(ABS(H26)&lt;1E-15,IF(ABS(I26)&lt;1E-15,1,1E123),I26/H26)</x:f>
        <x:v>0.5829314759307098</x:v>
      </x:c>
      <x:c r="P26" s="22" t="n">
        <x:f>G26-F26</x:f>
        <x:v>3.4398498122141064</x:v>
      </x:c>
      <x:c r="Q26" s="19" t="str">
        <x:f>IF(AND(L26&gt;=0.8,L26&lt;=1.25),"Close (±25%)",IF(AND(L26&gt;=0.5,L26&lt;=2),"Same order (×0.5–2)",IF(AND(L26&gt;=0.1,L26&lt;=10),"Notable deviation","Major deviation")))</x:f>
        <x:v>Close (±25%)</x:v>
      </x:c>
      <x:c r="R26" s="19" t="str"/>
    </x:row>
    <x:row r="27" ht="15" hidden="0" customHeight="1">
      <x:c r="A27" s="19" t="str">
        <x:v>F26</x:v>
      </x:c>
      <x:c r="B27" s="19" t="str">
        <x:v>Composition</x:v>
      </x:c>
      <x:c r="C27" s="22" t="n">
        <x:v>2600</x:v>
      </x:c>
      <x:c r="D27" s="22" t="n">
        <x:v>2700.2</x:v>
      </x:c>
      <x:c r="E27" s="22" t="n">
        <x:v>2700.241387990237</x:v>
      </x:c>
      <x:c r="F27" s="22" t="n">
        <x:v>2700.5</x:v>
      </x:c>
      <x:c r="G27" s="22" t="n">
        <x:v>2700.677049235507</x:v>
      </x:c>
      <x:c r="H27" s="22" t="n">
        <x:v>0.33159</x:v>
      </x:c>
      <x:c r="I27" s="22" t="n">
        <x:v>0.6540004794866645</x:v>
      </x:c>
      <x:c r="J27" s="22" t="n">
        <x:f>F27-C27</x:f>
        <x:v>100.5</x:v>
      </x:c>
      <x:c r="K27" s="22" t="n">
        <x:f>G27-C27</x:f>
        <x:v>100.67704923550718</x:v>
      </x:c>
      <x:c r="L27" s="22" t="n">
        <x:f>IF(ABS(J27)&lt;1E-15,IF(ABS(K27)&lt;1E-15,1,1E124),K27/J27)</x:f>
        <x:v>1.0017616839353949</x:v>
      </x:c>
      <x:c r="M27" s="24" t="n">
        <x:f>ABS(G27-F27)/MAX(ABS(F27),1E-15)</x:f>
        <x:v>0.00006556164988231207</x:v>
      </x:c>
      <x:c r="N27" s="22" t="n">
        <x:f>IF(ABS(D27-C27)&lt;1E-15,IF(ABS(E27-C27)&lt;1E-15,1,1E124),(E27-C27)/(D27-C27))</x:f>
        <x:v>1.0004130537947817</x:v>
      </x:c>
      <x:c r="O27" s="22" t="n">
        <x:f>IF(ABS(H27)&lt;1E-15,IF(ABS(I27)&lt;1E-15,1,1E124),I27/H27)</x:f>
        <x:v>1.97231665456336</x:v>
      </x:c>
      <x:c r="P27" s="22" t="n">
        <x:f>G27-F27</x:f>
        <x:v>0.17704923550718377</x:v>
      </x:c>
      <x:c r="Q27" s="19" t="str">
        <x:f>IF(AND(L27&gt;=0.8,L27&lt;=1.25),"Close (±25%)",IF(AND(L27&gt;=0.5,L27&lt;=2),"Same order (×0.5–2)",IF(AND(L27&gt;=0.1,L27&lt;=10),"Notable deviation","Major deviation")))</x:f>
        <x:v>Close (±25%)</x:v>
      </x:c>
      <x:c r="R27" s="19" t="str"/>
    </x:row>
    <x:row r="28" ht="15" hidden="0" customHeight="1">
      <x:c r="A28" s="19" t="str">
        <x:v>F27</x:v>
      </x:c>
      <x:c r="B28" s="19" t="str">
        <x:v>Composition</x:v>
      </x:c>
      <x:c r="C28" s="22" t="n">
        <x:v>2700</x:v>
      </x:c>
      <x:c r="D28" s="22" t="n">
        <x:v>2703.9</x:v>
      </x:c>
      <x:c r="E28" s="22" t="n">
        <x:v>2900</x:v>
      </x:c>
      <x:c r="F28" s="22" t="n">
        <x:v>2868.3</x:v>
      </x:c>
      <x:c r="G28" s="22" t="n">
        <x:v>2900</x:v>
      </x:c>
      <x:c r="H28" s="22" t="n">
        <x:v>72.135</x:v>
      </x:c>
      <x:c r="I28" s="22" t="n">
        <x:v>0</x:v>
      </x:c>
      <x:c r="J28" s="22" t="n">
        <x:f>F28-C28</x:f>
        <x:v>168.30000000000018</x:v>
      </x:c>
      <x:c r="K28" s="22" t="n">
        <x:f>G28-C28</x:f>
        <x:v>200</x:v>
      </x:c>
      <x:c r="L28" s="22" t="n">
        <x:f>IF(ABS(J28)&lt;1E-15,IF(ABS(K28)&lt;1E-15,1,1E125),K28/J28)</x:f>
        <x:v>1.1883541295305988</x:v>
      </x:c>
      <x:c r="M28" s="24" t="n">
        <x:f>ABS(G28-F28)/MAX(ABS(F28),1E-15)</x:f>
        <x:v>0.01105184255482335</x:v>
      </x:c>
      <x:c r="N28" s="22" t="n">
        <x:f>IF(ABS(D28-C28)&lt;1E-15,IF(ABS(E28-C28)&lt;1E-15,1,1E125),(E28-C28)/(D28-C28))</x:f>
        <x:v>51.282051282050084</x:v>
      </x:c>
      <x:c r="O28" s="22" t="n">
        <x:f>IF(ABS(H28)&lt;1E-15,IF(ABS(I28)&lt;1E-15,1,1E125),I28/H28)</x:f>
        <x:v>0</x:v>
      </x:c>
      <x:c r="P28" s="22" t="n">
        <x:f>G28-F28</x:f>
        <x:v>31.699999999999818</x:v>
      </x:c>
      <x:c r="Q28" s="19" t="str">
        <x:f>IF(AND(L28&gt;=0.8,L28&lt;=1.25),"Close (±25%)",IF(AND(L28&gt;=0.5,L28&lt;=2),"Same order (×0.5–2)",IF(AND(L28&gt;=0.1,L28&lt;=10),"Notable deviation","Major deviation")))</x:f>
        <x:v>Close (±25%)</x:v>
      </x:c>
      <x:c r="R28" s="19" t="str">
        <x:v>Our 30 runs all ended at 2900 (STD=0); paper reports variable outcomes.</x:v>
      </x:c>
    </x:row>
    <x:row r="29" ht="15" hidden="0" customHeight="1">
      <x:c r="A29" s="19" t="str">
        <x:v>F28</x:v>
      </x:c>
      <x:c r="B29" s="19" t="str">
        <x:v>Composition</x:v>
      </x:c>
      <x:c r="C29" s="22" t="n">
        <x:v>2800</x:v>
      </x:c>
      <x:c r="D29" s="22" t="n">
        <x:v>3000</x:v>
      </x:c>
      <x:c r="E29" s="22" t="n">
        <x:v>3000</x:v>
      </x:c>
      <x:c r="F29" s="22" t="n">
        <x:v>3000</x:v>
      </x:c>
      <x:c r="G29" s="22" t="n">
        <x:v>3000</x:v>
      </x:c>
      <x:c r="H29" s="22" t="n">
        <x:v>0</x:v>
      </x:c>
      <x:c r="I29" s="22" t="n">
        <x:v>0</x:v>
      </x:c>
      <x:c r="J29" s="22" t="n">
        <x:f>F29-C29</x:f>
        <x:v>200</x:v>
      </x:c>
      <x:c r="K29" s="22" t="n">
        <x:f>G29-C29</x:f>
        <x:v>200</x:v>
      </x:c>
      <x:c r="L29" s="22" t="n">
        <x:f>IF(ABS(J29)&lt;1E-15,IF(ABS(K29)&lt;1E-15,1,1E126),K29/J29)</x:f>
        <x:v>1</x:v>
      </x:c>
      <x:c r="M29" s="24" t="n">
        <x:f>ABS(G29-F29)/MAX(ABS(F29),1E-15)</x:f>
        <x:v>0</x:v>
      </x:c>
      <x:c r="N29" s="22" t="n">
        <x:f>IF(ABS(D29-C29)&lt;1E-15,IF(ABS(E29-C29)&lt;1E-15,1,1E126),(E29-C29)/(D29-C29))</x:f>
        <x:v>1</x:v>
      </x:c>
      <x:c r="O29" s="22" t="n">
        <x:f>1</x:f>
        <x:v>1</x:v>
      </x:c>
      <x:c r="P29" s="22" t="n">
        <x:f>G29-F29</x:f>
        <x:v>0</x:v>
      </x:c>
      <x:c r="Q29" s="19" t="str">
        <x:f>IF(AND(L29&gt;=0.8,L29&lt;=1.25),"Close (±25%)",IF(AND(L29&gt;=0.5,L29&lt;=2),"Same order (×0.5–2)",IF(AND(L29&gt;=0.1,L29&lt;=10),"Notable deviation","Major deviation")))</x:f>
        <x:v>Close (±25%)</x:v>
      </x:c>
      <x:c r="R29" s="19" t="str">
        <x:v>Exact plateau match: Mean=3000, STD=0 in both.</x:v>
      </x:c>
    </x:row>
    <x:row r="30" ht="15" hidden="0" customHeight="1">
      <x:c r="A30" s="19" t="str">
        <x:v>F29</x:v>
      </x:c>
      <x:c r="B30" s="19" t="str">
        <x:v>Composition</x:v>
      </x:c>
      <x:c r="C30" s="22" t="n">
        <x:v>2900</x:v>
      </x:c>
      <x:c r="D30" s="22" t="n">
        <x:v>3100</x:v>
      </x:c>
      <x:c r="E30" s="22" t="n">
        <x:v>3100</x:v>
      </x:c>
      <x:c r="F30" s="22" t="n">
        <x:v>3980.8</x:v>
      </x:c>
      <x:c r="G30" s="22" t="n">
        <x:v>4507.119925037795</x:v>
      </x:c>
      <x:c r="H30" s="22" t="n">
        <x:v>1986.8</x:v>
      </x:c>
      <x:c r="I30" s="22" t="n">
        <x:v>1715.8970515759108</x:v>
      </x:c>
      <x:c r="J30" s="22" t="n">
        <x:f>F30-C30</x:f>
        <x:v>1080.8000000000002</x:v>
      </x:c>
      <x:c r="K30" s="22" t="n">
        <x:f>G30-C30</x:f>
        <x:v>1607.119925037795</x:v>
      </x:c>
      <x:c r="L30" s="22" t="n">
        <x:f>IF(ABS(J30)&lt;1E-15,IF(ABS(K30)&lt;1E-15,1,1E127),K30/J30)</x:f>
        <x:v>1.4869725435212755</x:v>
      </x:c>
      <x:c r="M30" s="24" t="n">
        <x:f>ABS(G30-F30)/MAX(ABS(F30),1E-15)</x:f>
        <x:v>0.13221461139414056</x:v>
      </x:c>
      <x:c r="N30" s="22" t="n">
        <x:f>IF(ABS(D30-C30)&lt;1E-15,IF(ABS(E30-C30)&lt;1E-15,1,1E127),(E30-C30)/(D30-C30))</x:f>
        <x:v>1</x:v>
      </x:c>
      <x:c r="O30" s="22" t="n">
        <x:f>IF(ABS(H30)&lt;1E-15,IF(ABS(I30)&lt;1E-15,1,1E127),I30/H30)</x:f>
        <x:v>0.863648606591459</x:v>
      </x:c>
      <x:c r="P30" s="22" t="n">
        <x:f>G30-F30</x:f>
        <x:v>526.3199250377947</x:v>
      </x:c>
      <x:c r="Q30" s="19" t="str">
        <x:f>IF(AND(L30&gt;=0.8,L30&lt;=1.25),"Close (±25%)",IF(AND(L30&gt;=0.5,L30&lt;=2),"Same order (×0.5–2)",IF(AND(L30&gt;=0.1,L30&lt;=10),"Notable deviation","Major deviation")))</x:f>
        <x:v>Same order (×0.5–2)</x:v>
      </x:c>
      <x:c r="R30" s="19" t="str"/>
    </x:row>
    <x:row r="31" ht="15" hidden="0" customHeight="1">
      <x:c r="A31" s="19" t="str">
        <x:v>F30</x:v>
      </x:c>
      <x:c r="B31" s="19" t="str">
        <x:v>Composition</x:v>
      </x:c>
      <x:c r="C31" s="22" t="n">
        <x:v>3000</x:v>
      </x:c>
      <x:c r="D31" s="22" t="n">
        <x:v>3200</x:v>
      </x:c>
      <x:c r="E31" s="22" t="n">
        <x:v>3200</x:v>
      </x:c>
      <x:c r="F31" s="22" t="n">
        <x:v>3558.3</x:v>
      </x:c>
      <x:c r="G31" s="22" t="n">
        <x:v>3749.8766172367177</x:v>
      </x:c>
      <x:c r="H31" s="22" t="n">
        <x:v>618.21</x:v>
      </x:c>
      <x:c r="I31" s="22" t="n">
        <x:v>744.6319288432535</x:v>
      </x:c>
      <x:c r="J31" s="22" t="n">
        <x:f>F31-C31</x:f>
        <x:v>558.3000000000002</x:v>
      </x:c>
      <x:c r="K31" s="22" t="n">
        <x:f>G31-C31</x:f>
        <x:v>749.8766172367177</x:v>
      </x:c>
      <x:c r="L31" s="22" t="n">
        <x:f>IF(ABS(J31)&lt;1E-15,IF(ABS(K31)&lt;1E-15,1,1E128),K31/J31)</x:f>
        <x:v>1.3431427856649067</x:v>
      </x:c>
      <x:c r="M31" s="24" t="n">
        <x:f>ABS(G31-F31)/MAX(ABS(F31),1E-15)</x:f>
        <x:v>0.053839366336935486</x:v>
      </x:c>
      <x:c r="N31" s="22" t="n">
        <x:f>IF(ABS(D31-C31)&lt;1E-15,IF(ABS(E31-C31)&lt;1E-15,1,1E128),(E31-C31)/(D31-C31))</x:f>
        <x:v>1</x:v>
      </x:c>
      <x:c r="O31" s="22" t="n">
        <x:f>IF(ABS(H31)&lt;1E-15,IF(ABS(I31)&lt;1E-15,1,1E128),I31/H31)</x:f>
        <x:v>1.204496738718645</x:v>
      </x:c>
      <x:c r="P31" s="22" t="n">
        <x:f>G31-F31</x:f>
        <x:v>191.57661723671754</x:v>
      </x:c>
      <x:c r="Q31" s="19" t="str">
        <x:f>IF(AND(L31&gt;=0.8,L31&lt;=1.25),"Close (±25%)",IF(AND(L31&gt;=0.5,L31&lt;=2),"Same order (×0.5–2)",IF(AND(L31&gt;=0.1,L31&lt;=10),"Notable deviation","Major deviation")))</x:f>
        <x:v>Same order (×0.5–2)</x:v>
      </x:c>
      <x:c r="R31" s="19" t="str"/>
    </x:row>
  </x:sheetData>
  <x:conditionalFormatting sqref="L2:L3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Q2:Q31">
    <x:cfRule type="expression" dxfId="0" priority="2">
      <x:formula>Q2="Major deviation"</x:formula>
    </x:cfRule>
    <x:cfRule type="expression" dxfId="1" priority="3">
      <x:formula>Q2="Notable deviation"</x:formula>
    </x:cfRule>
    <x:cfRule type="expression" dxfId="2" priority="4">
      <x:formula>Q2="Close (±25%)"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9.380000114440918" hidden="0" customWidth="1"/>
    <x:col min="4" max="4" width="9.380000114440918" hidden="0" customWidth="1"/>
    <x:col min="5" max="5" width="9.380000114440918" hidden="0" customWidth="1"/>
    <x:col min="6" max="6" width="9.75" hidden="0" customWidth="1"/>
    <x:col min="7" max="7" width="9.880000114440918" hidden="0" customWidth="1"/>
    <x:col min="8" max="8" width="9.380000114440918" hidden="0" customWidth="1"/>
    <x:col min="9" max="9" width="15.380000114440918" hidden="0" customWidth="1"/>
    <x:col min="10" max="10" width="14" hidden="0" customWidth="1"/>
    <x:col min="11" max="11" width="14.130000114440918" hidden="0" customWidth="1"/>
    <x:col min="12" max="12" width="13.630000114440918" hidden="0" customWidth="1"/>
    <x:col min="13" max="13" width="14.630000114440918" hidden="0" customWidth="1"/>
    <x:col min="14" max="14" width="12.5" hidden="0" customWidth="1"/>
    <x:col min="15" max="15" width="9.380000114440918" hidden="0" customWidth="1"/>
    <x:col min="16" max="16" width="18.5" hidden="0" customWidth="1"/>
    <x:col min="17" max="17" width="24" hidden="0" customWidth="1"/>
    <x:col min="18" max="18" width="42" hidden="0" customWidth="1"/>
  </x:cols>
  <x:sheetData>
    <x:row r="1" ht="15" hidden="0" customHeight="1">
      <x:c r="A1" s="18" t="str">
        <x:v>Function</x:v>
      </x:c>
      <x:c r="B1" s="18" t="str">
        <x:v>Family</x:v>
      </x:c>
      <x:c r="C1" s="18" t="str">
        <x:v>Optimum</x:v>
      </x:c>
      <x:c r="D1" s="18" t="str">
        <x:v>Paper Best</x:v>
      </x:c>
      <x:c r="E1" s="18" t="str">
        <x:v>Repro Best</x:v>
      </x:c>
      <x:c r="F1" s="18" t="str">
        <x:v>Paper Mean</x:v>
      </x:c>
      <x:c r="G1" s="18" t="str">
        <x:v>Repro Mean</x:v>
      </x:c>
      <x:c r="H1" s="18" t="str">
        <x:v>Paper STD</x:v>
      </x:c>
      <x:c r="I1" s="18" t="str">
        <x:v>Repro STD (ddof=1)</x:v>
      </x:c>
      <x:c r="J1" s="18" t="str">
        <x:v>Paper Mean Error</x:v>
      </x:c>
      <x:c r="K1" s="18" t="str">
        <x:v>Repro Mean Error</x:v>
      </x:c>
      <x:c r="L1" s="18" t="str">
        <x:v>Mean Error Ratio</x:v>
      </x:c>
      <x:c r="M1" s="18" t="str">
        <x:v>Raw Mean Rel Diff</x:v>
      </x:c>
      <x:c r="N1" s="18" t="str">
        <x:v>Best Error Ratio</x:v>
      </x:c>
      <x:c r="O1" s="18" t="str">
        <x:v>STD Ratio</x:v>
      </x:c>
      <x:c r="P1" s="18" t="str">
        <x:v>Paper-vs-Repro Mean Δ</x:v>
      </x:c>
      <x:c r="Q1" s="18" t="str">
        <x:v>Agreement Band</x:v>
      </x:c>
      <x:c r="R1" s="18" t="str">
        <x:v>Notes</x:v>
      </x:c>
    </x:row>
    <x:row r="2" ht="15" hidden="0" customHeight="1">
      <x:c r="A2" s="19" t="str">
        <x:v>F1</x:v>
      </x:c>
      <x:c r="B2" s="19" t="str">
        <x:v>Unimodal</x:v>
      </x:c>
      <x:c r="C2" s="22" t="n">
        <x:v>100</x:v>
      </x:c>
      <x:c r="D2" s="22" t="n">
        <x:v>877680</x:v>
      </x:c>
      <x:c r="E2" s="22" t="n">
        <x:v>594947.171501516</x:v>
      </x:c>
      <x:c r="F2" s="22" t="n">
        <x:v>10634000</x:v>
      </x:c>
      <x:c r="G2" s="22" t="n">
        <x:v>10145738.065932522</x:v>
      </x:c>
      <x:c r="H2" s="22" t="n">
        <x:v>7455800</x:v>
      </x:c>
      <x:c r="I2" s="22" t="n">
        <x:v>9124917.245330062</x:v>
      </x:c>
      <x:c r="J2" s="22" t="n">
        <x:f>F2-C2</x:f>
        <x:v>10633900</x:v>
      </x:c>
      <x:c r="K2" s="22" t="n">
        <x:f>G2-C2</x:f>
        <x:v>10145638.065932522</x:v>
      </x:c>
      <x:c r="L2" s="22" t="n">
        <x:f>IF(ABS(J2)&lt;1E-15,IF(ABS(K2)&lt;1E-15,1,1E99),K2/J2)</x:f>
        <x:v>0.9540843966872475</x:v>
      </x:c>
      <x:c r="M2" s="24" t="n">
        <x:f>ABS(G2-F2)/MAX(ABS(F2),1E-15)</x:f>
        <x:v>0.045915171531641756</x:v>
      </x:c>
      <x:c r="N2" s="22" t="n">
        <x:f>IF(ABS(D2-C2)&lt;1E-15,IF(ABS(E2-C2)&lt;1E-15,1,1E99),(E2-C2)/(D2-C2))</x:f>
        <x:v>0.6778267183635862</x:v>
      </x:c>
      <x:c r="O2" s="22" t="n">
        <x:f>IF(ABS(H2)&lt;1E-15,IF(ABS(I2)&lt;1E-15,1,1E99),I2/H2)</x:f>
        <x:v>1.223868296538274</x:v>
      </x:c>
      <x:c r="P2" s="22" t="n">
        <x:f>G2-F2</x:f>
        <x:v>-488261.9340674784</x:v>
      </x:c>
      <x:c r="Q2" s="19" t="str">
        <x:f>IF(AND(L2&gt;=0.8,L2&lt;=1.25),"Close (±25%)",IF(AND(L2&gt;=0.5,L2&lt;=2),"Same order (×0.5–2)",IF(AND(L2&gt;=0.1,L2&lt;=10),"Notable deviation","Major deviation")))</x:f>
        <x:v>Close (±25%)</x:v>
      </x:c>
      <x:c r="R2" s="19" t="str"/>
    </x:row>
    <x:row r="3" ht="15" hidden="0" customHeight="1">
      <x:c r="A3" s="19" t="str">
        <x:v>F2</x:v>
      </x:c>
      <x:c r="B3" s="19" t="str">
        <x:v>Unimodal</x:v>
      </x:c>
      <x:c r="C3" s="22" t="n">
        <x:v>200</x:v>
      </x:c>
      <x:c r="D3" s="22" t="n">
        <x:v>13200</x:v>
      </x:c>
      <x:c r="E3" s="22" t="n">
        <x:v>5726.570662994307</x:v>
      </x:c>
      <x:c r="F3" s="22" t="n">
        <x:v>112150000</x:v>
      </x:c>
      <x:c r="G3" s="22" t="n">
        <x:v>80048591.36953492</x:v>
      </x:c>
      <x:c r="H3" s="22" t="n">
        <x:v>318470000</x:v>
      </x:c>
      <x:c r="I3" s="22" t="n">
        <x:v>218369102.98101956</x:v>
      </x:c>
      <x:c r="J3" s="22" t="n">
        <x:f>F3-C3</x:f>
        <x:v>112149800</x:v>
      </x:c>
      <x:c r="K3" s="22" t="n">
        <x:f>G3-C3</x:f>
        <x:v>80048391.36953492</x:v>
      </x:c>
      <x:c r="L3" s="22" t="n">
        <x:f>IF(ABS(J3)&lt;1E-15,IF(ABS(K3)&lt;1E-15,1,1E100),K3/J3)</x:f>
        <x:v>0.7137631219095792</x:v>
      </x:c>
      <x:c r="M3" s="24" t="n">
        <x:f>ABS(G3-F3)/MAX(ABS(F3),1E-15)</x:f>
        <x:v>0.2862363676367818</x:v>
      </x:c>
      <x:c r="N3" s="22" t="n">
        <x:f>IF(ABS(D3-C3)&lt;1E-15,IF(ABS(E3-C3)&lt;1E-15,1,1E100),(E3-C3)/(D3-C3))</x:f>
        <x:v>0.4251208202303313</x:v>
      </x:c>
      <x:c r="O3" s="22" t="n">
        <x:f>IF(ABS(H3)&lt;1E-15,IF(ABS(I3)&lt;1E-15,1,1E100),I3/H3)</x:f>
        <x:v>0.685681863224227</x:v>
      </x:c>
      <x:c r="P3" s="22" t="n">
        <x:f>G3-F3</x:f>
        <x:v>-32101408.630465075</x:v>
      </x:c>
      <x:c r="Q3" s="19" t="str">
        <x:f>IF(AND(L3&gt;=0.8,L3&lt;=1.25),"Close (±25%)",IF(AND(L3&gt;=0.5,L3&lt;=2),"Same order (×0.5–2)",IF(AND(L3&gt;=0.1,L3&lt;=10),"Notable deviation","Major deviation")))</x:f>
        <x:v>Same order (×0.5–2)</x:v>
      </x:c>
      <x:c r="R3" s="19" t="str"/>
    </x:row>
    <x:row r="4" ht="15" hidden="0" customHeight="1">
      <x:c r="A4" s="19" t="str">
        <x:v>F3</x:v>
      </x:c>
      <x:c r="B4" s="19" t="str">
        <x:v>Unimodal</x:v>
      </x:c>
      <x:c r="C4" s="22" t="n">
        <x:v>300</x:v>
      </x:c>
      <x:c r="D4" s="22" t="n">
        <x:v>1363.7</x:v>
      </x:c>
      <x:c r="E4" s="22" t="n">
        <x:v>2612.151720826753</x:v>
      </x:c>
      <x:c r="F4" s="22" t="n">
        <x:v>14029</x:v>
      </x:c>
      <x:c r="G4" s="22" t="n">
        <x:v>11565.371972288134</x:v>
      </x:c>
      <x:c r="H4" s="22" t="n">
        <x:v>7311.9</x:v>
      </x:c>
      <x:c r="I4" s="22" t="n">
        <x:v>6847.44828556531</x:v>
      </x:c>
      <x:c r="J4" s="22" t="n">
        <x:f>F4-C4</x:f>
        <x:v>13729</x:v>
      </x:c>
      <x:c r="K4" s="22" t="n">
        <x:f>G4-C4</x:f>
        <x:v>11265.371972288134</x:v>
      </x:c>
      <x:c r="L4" s="22" t="n">
        <x:f>IF(ABS(J4)&lt;1E-15,IF(ABS(K4)&lt;1E-15,1,1E101),K4/J4)</x:f>
        <x:v>0.820552988002632</x:v>
      </x:c>
      <x:c r="M4" s="24" t="n">
        <x:f>ABS(G4-F4)/MAX(ABS(F4),1E-15)</x:f>
        <x:v>0.17560966766782135</x:v>
      </x:c>
      <x:c r="N4" s="22" t="n">
        <x:f>IF(ABS(D4-C4)&lt;1E-15,IF(ABS(E4-C4)&lt;1E-15,1,1E101),(E4-C4)/(D4-C4))</x:f>
        <x:v>2.1736878074896615</x:v>
      </x:c>
      <x:c r="O4" s="22" t="n">
        <x:f>IF(ABS(H4)&lt;1E-15,IF(ABS(I4)&lt;1E-15,1,1E101),I4/H4)</x:f>
        <x:v>0.9364800237373747</x:v>
      </x:c>
      <x:c r="P4" s="22" t="n">
        <x:f>G4-F4</x:f>
        <x:v>-2463.628027711866</x:v>
      </x:c>
      <x:c r="Q4" s="19" t="str">
        <x:f>IF(AND(L4&gt;=0.8,L4&lt;=1.25),"Close (±25%)",IF(AND(L4&gt;=0.5,L4&lt;=2),"Same order (×0.5–2)",IF(AND(L4&gt;=0.1,L4&lt;=10),"Notable deviation","Major deviation")))</x:f>
        <x:v>Close (±25%)</x:v>
      </x:c>
      <x:c r="R4" s="19" t="str"/>
    </x:row>
    <x:row r="5" ht="15" hidden="0" customHeight="1">
      <x:c r="A5" s="19" t="str">
        <x:v>F4</x:v>
      </x:c>
      <x:c r="B5" s="19" t="str">
        <x:v>Simple multimodal</x:v>
      </x:c>
      <x:c r="C5" s="22" t="n">
        <x:v>400</x:v>
      </x:c>
      <x:c r="D5" s="22" t="n">
        <x:v>409.07</x:v>
      </x:c>
      <x:c r="E5" s="22" t="n">
        <x:v>410.3629104917298</x:v>
      </x:c>
      <x:c r="F5" s="22" t="n">
        <x:v>448.7</x:v>
      </x:c>
      <x:c r="G5" s="22" t="n">
        <x:v>434.16704684737084</x:v>
      </x:c>
      <x:c r="H5" s="22" t="n">
        <x:v>80.879</x:v>
      </x:c>
      <x:c r="I5" s="22" t="n">
        <x:v>6.070526479014252</x:v>
      </x:c>
      <x:c r="J5" s="22" t="n">
        <x:f>F5-C5</x:f>
        <x:v>48.69999999999999</x:v>
      </x:c>
      <x:c r="K5" s="22" t="n">
        <x:f>G5-C5</x:f>
        <x:v>34.16704684737084</x:v>
      </x:c>
      <x:c r="L5" s="22" t="n">
        <x:f>IF(ABS(J5)&lt;1E-15,IF(ABS(K5)&lt;1E-15,1,1E102),K5/J5)</x:f>
        <x:v>0.7015820707879025</x:v>
      </x:c>
      <x:c r="M5" s="24" t="n">
        <x:f>ABS(G5-F5)/MAX(ABS(F5),1E-15)</x:f>
        <x:v>0.032389019729505565</x:v>
      </x:c>
      <x:c r="N5" s="22" t="n">
        <x:f>IF(ABS(D5-C5)&lt;1E-15,IF(ABS(E5-C5)&lt;1E-15,1,1E102),(E5-C5)/(D5-C5))</x:f>
        <x:v>1.1425480145236824</x:v>
      </x:c>
      <x:c r="O5" s="22" t="n">
        <x:f>IF(ABS(H5)&lt;1E-15,IF(ABS(I5)&lt;1E-15,1,1E102),I5/H5)</x:f>
        <x:v>0.07505689337175599</x:v>
      </x:c>
      <x:c r="P5" s="22" t="n">
        <x:f>G5-F5</x:f>
        <x:v>-14.532953152629148</x:v>
      </x:c>
      <x:c r="Q5" s="19" t="str">
        <x:f>IF(AND(L5&gt;=0.8,L5&lt;=1.25),"Close (±25%)",IF(AND(L5&gt;=0.5,L5&lt;=2),"Same order (×0.5–2)",IF(AND(L5&gt;=0.1,L5&lt;=10),"Notable deviation","Major deviation")))</x:f>
        <x:v>Same order (×0.5–2)</x:v>
      </x:c>
      <x:c r="R5" s="19" t="str"/>
    </x:row>
    <x:row r="6" ht="15" hidden="0" customHeight="1">
      <x:c r="A6" s="19" t="str">
        <x:v>F5</x:v>
      </x:c>
      <x:c r="B6" s="19" t="str">
        <x:v>Simple multimodal</x:v>
      </x:c>
      <x:c r="C6" s="22" t="n">
        <x:v>500</x:v>
      </x:c>
      <x:c r="D6" s="22" t="n">
        <x:v>520.28</x:v>
      </x:c>
      <x:c r="E6" s="22" t="n">
        <x:v>520.3369506137678</x:v>
      </x:c>
      <x:c r="F6" s="22" t="n">
        <x:v>520.53</x:v>
      </x:c>
      <x:c r="G6" s="22" t="n">
        <x:v>520.5241654795198</x:v>
      </x:c>
      <x:c r="H6" s="22" t="n">
        <x:v>0.10816</x:v>
      </x:c>
      <x:c r="I6" s="22" t="n">
        <x:v>0.0776498279689776</x:v>
      </x:c>
      <x:c r="J6" s="22" t="n">
        <x:f>F6-C6</x:f>
        <x:v>20.529999999999973</x:v>
      </x:c>
      <x:c r="K6" s="22" t="n">
        <x:f>G6-C6</x:f>
        <x:v>20.524165479519752</x:v>
      </x:c>
      <x:c r="L6" s="22" t="n">
        <x:f>IF(ABS(J6)&lt;1E-15,IF(ABS(K6)&lt;1E-15,1,1E103),K6/J6)</x:f>
        <x:v>0.9997158051397846</x:v>
      </x:c>
      <x:c r="M6" s="24" t="n">
        <x:f>ABS(G6-F6)/MAX(ABS(F6),1E-15)</x:f>
        <x:v>0.000011208807331413785</x:v>
      </x:c>
      <x:c r="N6" s="22" t="n">
        <x:f>IF(ABS(D6-C6)&lt;1E-15,IF(ABS(E6-C6)&lt;1E-15,1,1E103),(E6-C6)/(D6-C6))</x:f>
        <x:v>1.002808215669027</x:v>
      </x:c>
      <x:c r="O6" s="22" t="n">
        <x:f>IF(ABS(H6)&lt;1E-15,IF(ABS(I6)&lt;1E-15,1,1E103),I6/H6)</x:f>
        <x:v>0.7179163088847781</x:v>
      </x:c>
      <x:c r="P6" s="22" t="n">
        <x:f>G6-F6</x:f>
        <x:v>-0.005834520480220817</x:v>
      </x:c>
      <x:c r="Q6" s="19" t="str">
        <x:f>IF(AND(L6&gt;=0.8,L6&lt;=1.25),"Close (±25%)",IF(AND(L6&gt;=0.5,L6&lt;=2),"Same order (×0.5–2)",IF(AND(L6&gt;=0.1,L6&lt;=10),"Notable deviation","Major deviation")))</x:f>
        <x:v>Close (±25%)</x:v>
      </x:c>
      <x:c r="R6" s="19" t="str"/>
    </x:row>
    <x:row r="7" ht="15" hidden="0" customHeight="1">
      <x:c r="A7" s="19" t="str">
        <x:v>F6</x:v>
      </x:c>
      <x:c r="B7" s="19" t="str">
        <x:v>Simple multimodal</x:v>
      </x:c>
      <x:c r="C7" s="22" t="n">
        <x:v>600</x:v>
      </x:c>
      <x:c r="D7" s="22" t="n">
        <x:v>600.43</x:v>
      </x:c>
      <x:c r="E7" s="22" t="n">
        <x:v>600.777388155634</x:v>
      </x:c>
      <x:c r="F7" s="22" t="n">
        <x:v>602.93</x:v>
      </x:c>
      <x:c r="G7" s="22" t="n">
        <x:v>602.6292216973252</x:v>
      </x:c>
      <x:c r="H7" s="22" t="n">
        <x:v>1.3476</x:v>
      </x:c>
      <x:c r="I7" s="22" t="n">
        <x:v>1.1859215292102936</x:v>
      </x:c>
      <x:c r="J7" s="22" t="n">
        <x:f>F7-C7</x:f>
        <x:v>2.92999999999995</x:v>
      </x:c>
      <x:c r="K7" s="22" t="n">
        <x:f>G7-C7</x:f>
        <x:v>2.6292216973251925</x:v>
      </x:c>
      <x:c r="L7" s="22" t="n">
        <x:f>IF(ABS(J7)&lt;1E-15,IF(ABS(K7)&lt;1E-15,1,1E104),K7/J7)</x:f>
        <x:v>0.8973452891895008</x:v>
      </x:c>
      <x:c r="M7" s="24" t="n">
        <x:f>ABS(G7-F7)/MAX(ABS(F7),1E-15)</x:f>
        <x:v>0.0004988610662510698</x:v>
      </x:c>
      <x:c r="N7" s="22" t="n">
        <x:f>IF(ABS(D7-C7)&lt;1E-15,IF(ABS(E7-C7)&lt;1E-15,1,1E104),(E7-C7)/(D7-C7))</x:f>
        <x:v>1.807879431707088</x:v>
      </x:c>
      <x:c r="O7" s="22" t="n">
        <x:f>IF(ABS(H7)&lt;1E-15,IF(ABS(I7)&lt;1E-15,1,1E104),I7/H7)</x:f>
        <x:v>0.8800248806843972</x:v>
      </x:c>
      <x:c r="P7" s="22" t="n">
        <x:f>G7-F7</x:f>
        <x:v>-0.30077830267475747</x:v>
      </x:c>
      <x:c r="Q7" s="19" t="str">
        <x:f>IF(AND(L7&gt;=0.8,L7&lt;=1.25),"Close (±25%)",IF(AND(L7&gt;=0.5,L7&lt;=2),"Same order (×0.5–2)",IF(AND(L7&gt;=0.1,L7&lt;=10),"Notable deviation","Major deviation")))</x:f>
        <x:v>Close (±25%)</x:v>
      </x:c>
      <x:c r="R7" s="19" t="str"/>
    </x:row>
    <x:row r="8" ht="15" hidden="0" customHeight="1">
      <x:c r="A8" s="19" t="str">
        <x:v>F7</x:v>
      </x:c>
      <x:c r="B8" s="19" t="str">
        <x:v>Simple multimodal</x:v>
      </x:c>
      <x:c r="C8" s="22" t="n">
        <x:v>700</x:v>
      </x:c>
      <x:c r="D8" s="22" t="n">
        <x:v>700.32</x:v>
      </x:c>
      <x:c r="E8" s="22" t="n">
        <x:v>700.313443158519</x:v>
      </x:c>
      <x:c r="F8" s="22" t="n">
        <x:v>702.2</x:v>
      </x:c>
      <x:c r="G8" s="22" t="n">
        <x:v>701.4386084810874</x:v>
      </x:c>
      <x:c r="H8" s="22" t="n">
        <x:v>5.2913</x:v>
      </x:c>
      <x:c r="I8" s="22" t="n">
        <x:v>0.8421409370384716</x:v>
      </x:c>
      <x:c r="J8" s="22" t="n">
        <x:f>F8-C8</x:f>
        <x:v>2.2000000000000455</x:v>
      </x:c>
      <x:c r="K8" s="22" t="n">
        <x:f>G8-C8</x:f>
        <x:v>1.4386084810873854</x:v>
      </x:c>
      <x:c r="L8" s="22" t="n">
        <x:f>IF(ABS(J8)&lt;1E-15,IF(ABS(K8)&lt;1E-15,1,1E105),K8/J8)</x:f>
        <x:v>0.653912945948798</x:v>
      </x:c>
      <x:c r="M8" s="24" t="n">
        <x:f>ABS(G8-F8)/MAX(ABS(F8),1E-15)</x:f>
        <x:v>0.0010842943875144688</x:v>
      </x:c>
      <x:c r="N8" s="22" t="n">
        <x:f>IF(ABS(D8-C8)&lt;1E-15,IF(ABS(E8-C8)&lt;1E-15,1,1E105),(E8-C8)/(D8-C8))</x:f>
        <x:v>0.9795098703717887</x:v>
      </x:c>
      <x:c r="O8" s="22" t="n">
        <x:f>IF(ABS(H8)&lt;1E-15,IF(ABS(I8)&lt;1E-15,1,1E105),I8/H8)</x:f>
        <x:v>0.15915577212376386</x:v>
      </x:c>
      <x:c r="P8" s="22" t="n">
        <x:f>G8-F8</x:f>
        <x:v>-0.7613915189126601</x:v>
      </x:c>
      <x:c r="Q8" s="19" t="str">
        <x:f>IF(AND(L8&gt;=0.8,L8&lt;=1.25),"Close (±25%)",IF(AND(L8&gt;=0.5,L8&lt;=2),"Same order (×0.5–2)",IF(AND(L8&gt;=0.1,L8&lt;=10),"Notable deviation","Major deviation")))</x:f>
        <x:v>Same order (×0.5–2)</x:v>
      </x:c>
      <x:c r="R8" s="19" t="str"/>
    </x:row>
    <x:row r="9" ht="15" hidden="0" customHeight="1">
      <x:c r="A9" s="19" t="str">
        <x:v>F8</x:v>
      </x:c>
      <x:c r="B9" s="19" t="str">
        <x:v>Simple multimodal</x:v>
      </x:c>
      <x:c r="C9" s="22" t="n">
        <x:v>800</x:v>
      </x:c>
      <x:c r="D9" s="22" t="n">
        <x:v>805.07</x:v>
      </x:c>
      <x:c r="E9" s="22" t="n">
        <x:v>804.0324104056708</x:v>
      </x:c>
      <x:c r="F9" s="22" t="n">
        <x:v>814.66</x:v>
      </x:c>
      <x:c r="G9" s="22" t="n">
        <x:v>812.7521129366746</x:v>
      </x:c>
      <x:c r="H9" s="22" t="n">
        <x:v>6.5709</x:v>
      </x:c>
      <x:c r="I9" s="22" t="n">
        <x:v>5.0413379871728425</x:v>
      </x:c>
      <x:c r="J9" s="22" t="n">
        <x:f>F9-C9</x:f>
        <x:v>14.659999999999968</x:v>
      </x:c>
      <x:c r="K9" s="22" t="n">
        <x:f>G9-C9</x:f>
        <x:v>12.75211293667462</x:v>
      </x:c>
      <x:c r="L9" s="22" t="n">
        <x:f>IF(ABS(J9)&lt;1E-15,IF(ABS(K9)&lt;1E-15,1,1E106),K9/J9)</x:f>
        <x:v>0.8698576355166882</x:v>
      </x:c>
      <x:c r="M9" s="24" t="n">
        <x:f>ABS(G9-F9)/MAX(ABS(F9),1E-15)</x:f>
        <x:v>0.002341942728654098</x:v>
      </x:c>
      <x:c r="N9" s="22" t="n">
        <x:f>IF(ABS(D9-C9)&lt;1E-15,IF(ABS(E9-C9)&lt;1E-15,1,1E106),(E9-C9)/(D9-C9))</x:f>
        <x:v>0.7953472200534076</x:v>
      </x:c>
      <x:c r="O9" s="22" t="n">
        <x:f>IF(ABS(H9)&lt;1E-15,IF(ABS(I9)&lt;1E-15,1,1E106),I9/H9)</x:f>
        <x:v>0.7672218398047213</x:v>
      </x:c>
      <x:c r="P9" s="22" t="n">
        <x:f>G9-F9</x:f>
        <x:v>-1.9078870633253473</x:v>
      </x:c>
      <x:c r="Q9" s="19" t="str">
        <x:f>IF(AND(L9&gt;=0.8,L9&lt;=1.25),"Close (±25%)",IF(AND(L9&gt;=0.5,L9&lt;=2),"Same order (×0.5–2)",IF(AND(L9&gt;=0.1,L9&lt;=10),"Notable deviation","Major deviation")))</x:f>
        <x:v>Close (±25%)</x:v>
      </x:c>
      <x:c r="R9" s="19" t="str"/>
    </x:row>
    <x:row r="10" ht="15" hidden="0" customHeight="1">
      <x:c r="A10" s="19" t="str">
        <x:v>F9</x:v>
      </x:c>
      <x:c r="B10" s="19" t="str">
        <x:v>Simple multimodal</x:v>
      </x:c>
      <x:c r="C10" s="22" t="n">
        <x:v>900</x:v>
      </x:c>
      <x:c r="D10" s="22" t="n">
        <x:v>907.97</x:v>
      </x:c>
      <x:c r="E10" s="22" t="n">
        <x:v>906.0895294634452</x:v>
      </x:c>
      <x:c r="F10" s="22" t="n">
        <x:v>921.03</x:v>
      </x:c>
      <x:c r="G10" s="22" t="n">
        <x:v>918.5275505062567</x:v>
      </x:c>
      <x:c r="H10" s="22" t="n">
        <x:v>10.719</x:v>
      </x:c>
      <x:c r="I10" s="22" t="n">
        <x:v>10.013998984930067</x:v>
      </x:c>
      <x:c r="J10" s="22" t="n">
        <x:f>F10-C10</x:f>
        <x:v>21.029999999999973</x:v>
      </x:c>
      <x:c r="K10" s="22" t="n">
        <x:f>G10-C10</x:f>
        <x:v>18.527550506256716</x:v>
      </x:c>
      <x:c r="L10" s="22" t="n">
        <x:f>IF(ABS(J10)&lt;1E-15,IF(ABS(K10)&lt;1E-15,1,1E107),K10/J10)</x:f>
        <x:v>0.8810057302071679</x:v>
      </x:c>
      <x:c r="M10" s="24" t="n">
        <x:f>ABS(G10-F10)/MAX(ABS(F10),1E-15)</x:f>
        <x:v>0.002717011925499991</x:v>
      </x:c>
      <x:c r="N10" s="22" t="n">
        <x:f>IF(ABS(D10-C10)&lt;1E-15,IF(ABS(E10-C10)&lt;1E-15,1,1E107),(E10-C10)/(D10-C10))</x:f>
        <x:v>0.7640563944096788</x:v>
      </x:c>
      <x:c r="O10" s="22" t="n">
        <x:f>IF(ABS(H10)&lt;1E-15,IF(ABS(I10)&lt;1E-15,1,1E107),I10/H10)</x:f>
        <x:v>0.9342288445685295</x:v>
      </x:c>
      <x:c r="P10" s="22" t="n">
        <x:f>G10-F10</x:f>
        <x:v>-2.5024494937432564</x:v>
      </x:c>
      <x:c r="Q10" s="19" t="str">
        <x:f>IF(AND(L10&gt;=0.8,L10&lt;=1.25),"Close (±25%)",IF(AND(L10&gt;=0.5,L10&lt;=2),"Same order (×0.5–2)",IF(AND(L10&gt;=0.1,L10&lt;=10),"Notable deviation","Major deviation")))</x:f>
        <x:v>Close (±25%)</x:v>
      </x:c>
      <x:c r="R10" s="19" t="str"/>
    </x:row>
    <x:row r="11" ht="15" hidden="0" customHeight="1">
      <x:c r="A11" s="19" t="str">
        <x:v>F10</x:v>
      </x:c>
      <x:c r="B11" s="19" t="str">
        <x:v>Simple multimodal</x:v>
      </x:c>
      <x:c r="C11" s="22" t="n">
        <x:v>1000</x:v>
      </x:c>
      <x:c r="D11" s="22" t="n">
        <x:v>1122.8</x:v>
      </x:c>
      <x:c r="E11" s="22" t="n">
        <x:v>1139.9061284893987</x:v>
      </x:c>
      <x:c r="F11" s="22" t="n">
        <x:v>1453.6</x:v>
      </x:c>
      <x:c r="G11" s="22" t="n">
        <x:v>1357.2721420646583</x:v>
      </x:c>
      <x:c r="H11" s="22" t="n">
        <x:v>292.18</x:v>
      </x:c>
      <x:c r="I11" s="22" t="n">
        <x:v>186.88811333405675</x:v>
      </x:c>
      <x:c r="J11" s="22" t="n">
        <x:f>F11-C11</x:f>
        <x:v>453.5999999999999</x:v>
      </x:c>
      <x:c r="K11" s="22" t="n">
        <x:f>G11-C11</x:f>
        <x:v>357.2721420646583</x:v>
      </x:c>
      <x:c r="L11" s="22" t="n">
        <x:f>IF(ABS(J11)&lt;1E-15,IF(ABS(K11)&lt;1E-15,1,1E108),K11/J11)</x:f>
        <x:v>0.7876369974970422</x:v>
      </x:c>
      <x:c r="M11" s="24" t="n">
        <x:f>ABS(G11-F11)/MAX(ABS(F11),1E-15)</x:f>
        <x:v>0.0662684768404937</x:v>
      </x:c>
      <x:c r="N11" s="22" t="n">
        <x:f>IF(ABS(D11-C11)&lt;1E-15,IF(ABS(E11-C11)&lt;1E-15,1,1E108),(E11-C11)/(D11-C11))</x:f>
        <x:v>1.13930072059771</x:v>
      </x:c>
      <x:c r="O11" s="22" t="n">
        <x:f>IF(ABS(H11)&lt;1E-15,IF(ABS(I11)&lt;1E-15,1,1E108),I11/H11)</x:f>
        <x:v>0.6396334907730055</x:v>
      </x:c>
      <x:c r="P11" s="22" t="n">
        <x:f>G11-F11</x:f>
        <x:v>-96.32785793534163</x:v>
      </x:c>
      <x:c r="Q11" s="19" t="str">
        <x:f>IF(AND(L11&gt;=0.8,L11&lt;=1.25),"Close (±25%)",IF(AND(L11&gt;=0.5,L11&lt;=2),"Same order (×0.5–2)",IF(AND(L11&gt;=0.1,L11&lt;=10),"Notable deviation","Major deviation")))</x:f>
        <x:v>Same order (×0.5–2)</x:v>
      </x:c>
      <x:c r="R11" s="19" t="str"/>
    </x:row>
    <x:row r="12" ht="15" hidden="0" customHeight="1">
      <x:c r="A12" s="19" t="str">
        <x:v>F11</x:v>
      </x:c>
      <x:c r="B12" s="19" t="str">
        <x:v>Simple multimodal</x:v>
      </x:c>
      <x:c r="C12" s="22" t="n">
        <x:v>1100</x:v>
      </x:c>
      <x:c r="D12" s="22" t="n">
        <x:v>1122.8</x:v>
      </x:c>
      <x:c r="E12" s="22" t="n">
        <x:v>1125.8071333961134</x:v>
      </x:c>
      <x:c r="F12" s="22" t="n">
        <x:v>1891.8</x:v>
      </x:c>
      <x:c r="G12" s="22" t="n">
        <x:v>1674.5075105573899</x:v>
      </x:c>
      <x:c r="H12" s="22" t="n">
        <x:v>403.78</x:v>
      </x:c>
      <x:c r="I12" s="22" t="n">
        <x:v>272.2594610190029</x:v>
      </x:c>
      <x:c r="J12" s="22" t="n">
        <x:f>F12-C12</x:f>
        <x:v>791.8</x:v>
      </x:c>
      <x:c r="K12" s="22" t="n">
        <x:f>G12-C12</x:f>
        <x:v>574.5075105573899</x:v>
      </x:c>
      <x:c r="L12" s="22" t="n">
        <x:f>IF(ABS(J12)&lt;1E-15,IF(ABS(K12)&lt;1E-15,1,1E109),K12/J12)</x:f>
        <x:v>0.7255714960310558</x:v>
      </x:c>
      <x:c r="M12" s="24" t="n">
        <x:f>ABS(G12-F12)/MAX(ABS(F12),1E-15)</x:f>
        <x:v>0.11486018048557463</x:v>
      </x:c>
      <x:c r="N12" s="22" t="n">
        <x:f>IF(ABS(D12-C12)&lt;1E-15,IF(ABS(E12-C12)&lt;1E-15,1,1E109),(E12-C12)/(D12-C12))</x:f>
        <x:v>1.1318918156190103</x:v>
      </x:c>
      <x:c r="O12" s="22" t="n">
        <x:f>IF(ABS(H12)&lt;1E-15,IF(ABS(I12)&lt;1E-15,1,1E109),I12/H12)</x:f>
        <x:v>0.6742767373792732</x:v>
      </x:c>
      <x:c r="P12" s="22" t="n">
        <x:f>G12-F12</x:f>
        <x:v>-217.29248944261008</x:v>
      </x:c>
      <x:c r="Q12" s="19" t="str">
        <x:f>IF(AND(L12&gt;=0.8,L12&lt;=1.25),"Close (±25%)",IF(AND(L12&gt;=0.5,L12&lt;=2),"Same order (×0.5–2)",IF(AND(L12&gt;=0.1,L12&lt;=10),"Notable deviation","Major deviation")))</x:f>
        <x:v>Same order (×0.5–2)</x:v>
      </x:c>
      <x:c r="R12" s="19" t="str"/>
    </x:row>
    <x:row r="13" ht="15" hidden="0" customHeight="1">
      <x:c r="A13" s="19" t="str">
        <x:v>F12</x:v>
      </x:c>
      <x:c r="B13" s="19" t="str">
        <x:v>Simple multimodal</x:v>
      </x:c>
      <x:c r="C13" s="22" t="n">
        <x:v>1200</x:v>
      </x:c>
      <x:c r="D13" s="22" t="n">
        <x:v>1200.1</x:v>
      </x:c>
      <x:c r="E13" s="22" t="n">
        <x:v>1200.1128610584851</x:v>
      </x:c>
      <x:c r="F13" s="22" t="n">
        <x:v>1201.1</x:v>
      </x:c>
      <x:c r="G13" s="22" t="n">
        <x:v>1201.3144932546295</x:v>
      </x:c>
      <x:c r="H13" s="22" t="n">
        <x:v>0.76283</x:v>
      </x:c>
      <x:c r="I13" s="22" t="n">
        <x:v>0.6419038023446844</x:v>
      </x:c>
      <x:c r="J13" s="22" t="n">
        <x:f>F13-C13</x:f>
        <x:v>1.099999999999909</x:v>
      </x:c>
      <x:c r="K13" s="22" t="n">
        <x:f>G13-C13</x:f>
        <x:v>1.3144932546294967</x:v>
      </x:c>
      <x:c r="L13" s="22" t="n">
        <x:f>IF(ABS(J13)&lt;1E-15,IF(ABS(K13)&lt;1E-15,1,1E110),K13/J13)</x:f>
        <x:v>1.1949938678450958</x:v>
      </x:c>
      <x:c r="M13" s="24" t="n">
        <x:f>ABS(G13-F13)/MAX(ABS(F13),1E-15)</x:f>
        <x:v>0.00017858067990141345</x:v>
      </x:c>
      <x:c r="N13" s="22" t="n">
        <x:f>IF(ABS(D13-C13)&lt;1E-15,IF(ABS(E13-C13)&lt;1E-15,1,1E110),(E13-C13)/(D13-C13))</x:f>
        <x:v>1.1286105848522572</x:v>
      </x:c>
      <x:c r="O13" s="22" t="n">
        <x:f>IF(ABS(H13)&lt;1E-15,IF(ABS(I13)&lt;1E-15,1,1E110),I13/H13)</x:f>
        <x:v>0.8414768721008408</x:v>
      </x:c>
      <x:c r="P13" s="22" t="n">
        <x:f>G13-F13</x:f>
        <x:v>0.21449325462958768</x:v>
      </x:c>
      <x:c r="Q13" s="19" t="str">
        <x:f>IF(AND(L13&gt;=0.8,L13&lt;=1.25),"Close (±25%)",IF(AND(L13&gt;=0.5,L13&lt;=2),"Same order (×0.5–2)",IF(AND(L13&gt;=0.1,L13&lt;=10),"Notable deviation","Major deviation")))</x:f>
        <x:v>Close (±25%)</x:v>
      </x:c>
      <x:c r="R13" s="19" t="str"/>
    </x:row>
    <x:row r="14" ht="15" hidden="0" customHeight="1">
      <x:c r="A14" s="19" t="str">
        <x:v>F13</x:v>
      </x:c>
      <x:c r="B14" s="19" t="str">
        <x:v>Simple multimodal</x:v>
      </x:c>
      <x:c r="C14" s="22" t="n">
        <x:v>1300</x:v>
      </x:c>
      <x:c r="D14" s="22" t="n">
        <x:v>1300.2</x:v>
      </x:c>
      <x:c r="E14" s="22" t="n">
        <x:v>1300.102238021981</x:v>
      </x:c>
      <x:c r="F14" s="22" t="n">
        <x:v>1300.3</x:v>
      </x:c>
      <x:c r="G14" s="22" t="n">
        <x:v>1300.230681870809</x:v>
      </x:c>
      <x:c r="H14" s="22" t="n">
        <x:v>0.070961</x:v>
      </x:c>
      <x:c r="I14" s="22" t="n">
        <x:v>0.056676379946350164</x:v>
      </x:c>
      <x:c r="J14" s="22" t="n">
        <x:f>F14-C14</x:f>
        <x:v>0.2999999999999545</x:v>
      </x:c>
      <x:c r="K14" s="22" t="n">
        <x:f>G14-C14</x:f>
        <x:v>0.23068187080889402</x:v>
      </x:c>
      <x:c r="L14" s="22" t="n">
        <x:f>IF(ABS(J14)&lt;1E-15,IF(ABS(K14)&lt;1E-15,1,1E111),K14/J14)</x:f>
        <x:v>0.7689395693630966</x:v>
      </x:c>
      <x:c r="M14" s="24" t="n">
        <x:f>ABS(G14-F14)/MAX(ABS(F14),1E-15)</x:f>
        <x:v>0.0000533093356848885</x:v>
      </x:c>
      <x:c r="N14" s="22" t="n">
        <x:f>IF(ABS(D14-C14)&lt;1E-15,IF(ABS(E14-C14)&lt;1E-15,1,1E111),(E14-C14)/(D14-C14))</x:f>
        <x:v>0.5111901099052122</x:v>
      </x:c>
      <x:c r="O14" s="22" t="n">
        <x:f>IF(ABS(H14)&lt;1E-15,IF(ABS(I14)&lt;1E-15,1,1E111),I14/H14)</x:f>
        <x:v>0.7986975936972445</x:v>
      </x:c>
      <x:c r="P14" s="22" t="n">
        <x:f>G14-F14</x:f>
        <x:v>-0.0693181291910605</x:v>
      </x:c>
      <x:c r="Q14" s="19" t="str">
        <x:f>IF(AND(L14&gt;=0.8,L14&lt;=1.25),"Close (±25%)",IF(AND(L14&gt;=0.5,L14&lt;=2),"Same order (×0.5–2)",IF(AND(L14&gt;=0.1,L14&lt;=10),"Notable deviation","Major deviation")))</x:f>
        <x:v>Same order (×0.5–2)</x:v>
      </x:c>
      <x:c r="R14" s="19" t="str"/>
    </x:row>
    <x:row r="15" ht="15" hidden="0" customHeight="1">
      <x:c r="A15" s="19" t="str">
        <x:v>F14</x:v>
      </x:c>
      <x:c r="B15" s="19" t="str">
        <x:v>Simple multimodal</x:v>
      </x:c>
      <x:c r="C15" s="22" t="n">
        <x:v>1400</x:v>
      </x:c>
      <x:c r="D15" s="22" t="n">
        <x:v>1400.2</x:v>
      </x:c>
      <x:c r="E15" s="22" t="n">
        <x:v>1400.1546066142037</x:v>
      </x:c>
      <x:c r="F15" s="22" t="n">
        <x:v>1400.4</x:v>
      </x:c>
      <x:c r="G15" s="22" t="n">
        <x:v>1400.3883158506264</x:v>
      </x:c>
      <x:c r="H15" s="22" t="n">
        <x:v>0.21205</x:v>
      </x:c>
      <x:c r="I15" s="22" t="n">
        <x:v>0.22838078644387705</x:v>
      </x:c>
      <x:c r="J15" s="22" t="n">
        <x:f>F15-C15</x:f>
        <x:v>0.40000000000009095</x:v>
      </x:c>
      <x:c r="K15" s="22" t="n">
        <x:f>G15-C15</x:f>
        <x:v>0.3883158506264408</x:v>
      </x:c>
      <x:c r="L15" s="22" t="n">
        <x:f>IF(ABS(J15)&lt;1E-15,IF(ABS(K15)&lt;1E-15,1,1E112),K15/J15)</x:f>
        <x:v>0.9707896265658813</x:v>
      </x:c>
      <x:c r="M15" s="24" t="n">
        <x:f>ABS(G15-F15)/MAX(ABS(F15),1E-15)</x:f>
        <x:v>0.000008343437141995246</x:v>
      </x:c>
      <x:c r="N15" s="22" t="n">
        <x:f>IF(ABS(D15-C15)&lt;1E-15,IF(ABS(E15-C15)&lt;1E-15,1,1E112),(E15-C15)/(D15-C15))</x:f>
        <x:v>0.773033071018114</x:v>
      </x:c>
      <x:c r="O15" s="22" t="n">
        <x:f>IF(ABS(H15)&lt;1E-15,IF(ABS(I15)&lt;1E-15,1,1E112),I15/H15)</x:f>
        <x:v>1.077013847884353</x:v>
      </x:c>
      <x:c r="P15" s="22" t="n">
        <x:f>G15-F15</x:f>
        <x:v>-0.011684149373650143</x:v>
      </x:c>
      <x:c r="Q15" s="19" t="str">
        <x:f>IF(AND(L15&gt;=0.8,L15&lt;=1.25),"Close (±25%)",IF(AND(L15&gt;=0.5,L15&lt;=2),"Same order (×0.5–2)",IF(AND(L15&gt;=0.1,L15&lt;=10),"Notable deviation","Major deviation")))</x:f>
        <x:v>Close (±25%)</x:v>
      </x:c>
      <x:c r="R15" s="19" t="str"/>
    </x:row>
    <x:row r="16" ht="15" hidden="0" customHeight="1">
      <x:c r="A16" s="19" t="str">
        <x:v>F15</x:v>
      </x:c>
      <x:c r="B16" s="19" t="str">
        <x:v>Simple multimodal</x:v>
      </x:c>
      <x:c r="C16" s="22" t="n">
        <x:v>1500</x:v>
      </x:c>
      <x:c r="D16" s="22" t="n">
        <x:v>1500.6</x:v>
      </x:c>
      <x:c r="E16" s="22" t="n">
        <x:v>1500.6984226252757</x:v>
      </x:c>
      <x:c r="F16" s="22" t="n">
        <x:v>1502.7</x:v>
      </x:c>
      <x:c r="G16" s="22" t="n">
        <x:v>1502.1822808396757</x:v>
      </x:c>
      <x:c r="H16" s="22" t="n">
        <x:v>1.1222</x:v>
      </x:c>
      <x:c r="I16" s="22" t="n">
        <x:v>0.91243530635073</x:v>
      </x:c>
      <x:c r="J16" s="22" t="n">
        <x:f>F16-C16</x:f>
        <x:v>2.7000000000000455</x:v>
      </x:c>
      <x:c r="K16" s="22" t="n">
        <x:f>G16-C16</x:f>
        <x:v>2.182280839675741</x:v>
      </x:c>
      <x:c r="L16" s="22" t="n">
        <x:f>IF(ABS(J16)&lt;1E-15,IF(ABS(K16)&lt;1E-15,1,1E113),K16/J16)</x:f>
        <x:v>0.8082521628428534</x:v>
      </x:c>
      <x:c r="M16" s="24" t="n">
        <x:f>ABS(G16-F16)/MAX(ABS(F16),1E-15)</x:f>
        <x:v>0.0003445259601545914</x:v>
      </x:c>
      <x:c r="N16" s="22" t="n">
        <x:f>IF(ABS(D16-C16)&lt;1E-15,IF(ABS(E16-C16)&lt;1E-15,1,1E113),(E16-C16)/(D16-C16))</x:f>
        <x:v>1.164037708793052</x:v>
      </x:c>
      <x:c r="O16" s="22" t="n">
        <x:f>IF(ABS(H16)&lt;1E-15,IF(ABS(I16)&lt;1E-15,1,1E113),I16/H16)</x:f>
        <x:v>0.8130772646148012</x:v>
      </x:c>
      <x:c r="P16" s="22" t="n">
        <x:f>G16-F16</x:f>
        <x:v>-0.5177191603243045</x:v>
      </x:c>
      <x:c r="Q16" s="19" t="str">
        <x:f>IF(AND(L16&gt;=0.8,L16&lt;=1.25),"Close (±25%)",IF(AND(L16&gt;=0.5,L16&lt;=2),"Same order (×0.5–2)",IF(AND(L16&gt;=0.1,L16&lt;=10),"Notable deviation","Major deviation")))</x:f>
        <x:v>Close (±25%)</x:v>
      </x:c>
      <x:c r="R16" s="19" t="str"/>
    </x:row>
    <x:row r="17" ht="15" hidden="0" customHeight="1">
      <x:c r="A17" s="19" t="str">
        <x:v>F16</x:v>
      </x:c>
      <x:c r="B17" s="19" t="str">
        <x:v>Simple multimodal</x:v>
      </x:c>
      <x:c r="C17" s="22" t="n">
        <x:v>1600</x:v>
      </x:c>
      <x:c r="D17" s="22" t="n">
        <x:v>1601.8</x:v>
      </x:c>
      <x:c r="E17" s="22" t="n">
        <x:v>1601.7985900077792</x:v>
      </x:c>
      <x:c r="F17" s="22" t="n">
        <x:v>1603</x:v>
      </x:c>
      <x:c r="G17" s="22" t="n">
        <x:v>1602.9203723153335</x:v>
      </x:c>
      <x:c r="H17" s="22" t="n">
        <x:v>0.45711</x:v>
      </x:c>
      <x:c r="I17" s="22" t="n">
        <x:v>0.5162005285861078</x:v>
      </x:c>
      <x:c r="J17" s="22" t="n">
        <x:f>F17-C17</x:f>
        <x:v>3</x:v>
      </x:c>
      <x:c r="K17" s="22" t="n">
        <x:f>G17-C17</x:f>
        <x:v>2.920372315333452</x:v>
      </x:c>
      <x:c r="L17" s="22" t="n">
        <x:f>IF(ABS(J17)&lt;1E-15,IF(ABS(K17)&lt;1E-15,1,1E114),K17/J17)</x:f>
        <x:v>0.9734574384444841</x:v>
      </x:c>
      <x:c r="M17" s="24" t="n">
        <x:f>ABS(G17-F17)/MAX(ABS(F17),1E-15)</x:f>
        <x:v>0.000049674163859356076</x:v>
      </x:c>
      <x:c r="N17" s="22" t="n">
        <x:f>IF(ABS(D17-C17)&lt;1E-15,IF(ABS(E17-C17)&lt;1E-15,1,1E114),(E17-C17)/(D17-C17))</x:f>
        <x:v>0.9992166709884915</x:v>
      </x:c>
      <x:c r="O17" s="22" t="n">
        <x:f>IF(ABS(H17)&lt;1E-15,IF(ABS(I17)&lt;1E-15,1,1E114),I17/H17)</x:f>
        <x:v>1.1292698225506066</x:v>
      </x:c>
      <x:c r="P17" s="22" t="n">
        <x:f>G17-F17</x:f>
        <x:v>-0.0796276846665478</x:v>
      </x:c>
      <x:c r="Q17" s="19" t="str">
        <x:f>IF(AND(L17&gt;=0.8,L17&lt;=1.25),"Close (±25%)",IF(AND(L17&gt;=0.5,L17&lt;=2),"Same order (×0.5–2)",IF(AND(L17&gt;=0.1,L17&lt;=10),"Notable deviation","Major deviation")))</x:f>
        <x:v>Close (±25%)</x:v>
      </x:c>
      <x:c r="R17" s="19" t="str"/>
    </x:row>
    <x:row r="18" ht="15" hidden="0" customHeight="1">
      <x:c r="A18" s="19" t="str">
        <x:v>F17</x:v>
      </x:c>
      <x:c r="B18" s="19" t="str">
        <x:v>Hybrid</x:v>
      </x:c>
      <x:c r="C18" s="22" t="n">
        <x:v>1700</x:v>
      </x:c>
      <x:c r="D18" s="22" t="n">
        <x:v>2936.3</x:v>
      </x:c>
      <x:c r="E18" s="22" t="n">
        <x:v>3751.5016273840406</x:v>
      </x:c>
      <x:c r="F18" s="22" t="n">
        <x:v>210610</x:v>
      </x:c>
      <x:c r="G18" s="22" t="n">
        <x:v>133505.71502113764</x:v>
      </x:c>
      <x:c r="H18" s="22" t="n">
        <x:v>226060</x:v>
      </x:c>
      <x:c r="I18" s="22" t="n">
        <x:v>196130.84272048582</x:v>
      </x:c>
      <x:c r="J18" s="22" t="n">
        <x:f>F18-C18</x:f>
        <x:v>208910</x:v>
      </x:c>
      <x:c r="K18" s="22" t="n">
        <x:f>G18-C18</x:f>
        <x:v>131805.71502113764</x:v>
      </x:c>
      <x:c r="L18" s="22" t="n">
        <x:f>IF(ABS(J18)&lt;1E-15,IF(ABS(K18)&lt;1E-15,1,1E115),K18/J18)</x:f>
        <x:v>0.6309210426553906</x:v>
      </x:c>
      <x:c r="M18" s="24" t="n">
        <x:f>ABS(G18-F18)/MAX(ABS(F18),1E-15)</x:f>
        <x:v>0.3660998289675816</x:v>
      </x:c>
      <x:c r="N18" s="22" t="n">
        <x:f>IF(ABS(D18-C18)&lt;1E-15,IF(ABS(E18-C18)&lt;1E-15,1,1E115),(E18-C18)/(D18-C18))</x:f>
        <x:v>1.659388196541325</x:v>
      </x:c>
      <x:c r="O18" s="22" t="n">
        <x:f>IF(ABS(H18)&lt;1E-15,IF(ABS(I18)&lt;1E-15,1,1E115),I18/H18)</x:f>
        <x:v>0.8676052495819067</x:v>
      </x:c>
      <x:c r="P18" s="22" t="n">
        <x:f>G18-F18</x:f>
        <x:v>-77104.28497886236</x:v>
      </x:c>
      <x:c r="Q18" s="19" t="str">
        <x:f>IF(AND(L18&gt;=0.8,L18&lt;=1.25),"Close (±25%)",IF(AND(L18&gt;=0.5,L18&lt;=2),"Same order (×0.5–2)",IF(AND(L18&gt;=0.1,L18&lt;=10),"Notable deviation","Major deviation")))</x:f>
        <x:v>Same order (×0.5–2)</x:v>
      </x:c>
      <x:c r="R18" s="19" t="str"/>
    </x:row>
    <x:row r="19" ht="15" hidden="0" customHeight="1">
      <x:c r="A19" s="19" t="str">
        <x:v>F18</x:v>
      </x:c>
      <x:c r="B19" s="19" t="str">
        <x:v>Hybrid</x:v>
      </x:c>
      <x:c r="C19" s="22" t="n">
        <x:v>1800</x:v>
      </x:c>
      <x:c r="D19" s="22" t="n">
        <x:v>2043.7</x:v>
      </x:c>
      <x:c r="E19" s="22" t="n">
        <x:v>2095.009199614797</x:v>
      </x:c>
      <x:c r="F19" s="22" t="n">
        <x:v>11124</x:v>
      </x:c>
      <x:c r="G19" s="22" t="n">
        <x:v>11641.913049528583</x:v>
      </x:c>
      <x:c r="H19" s="22" t="n">
        <x:v>8139.1</x:v>
      </x:c>
      <x:c r="I19" s="22" t="n">
        <x:v>9955.136813404548</x:v>
      </x:c>
      <x:c r="J19" s="22" t="n">
        <x:f>F19-C19</x:f>
        <x:v>9324</x:v>
      </x:c>
      <x:c r="K19" s="22" t="n">
        <x:f>G19-C19</x:f>
        <x:v>9841.913049528583</x:v>
      </x:c>
      <x:c r="L19" s="22" t="n">
        <x:f>IF(ABS(J19)&lt;1E-15,IF(ABS(K19)&lt;1E-15,1,1E116),K19/J19)</x:f>
        <x:v>1.0555462301081706</x:v>
      </x:c>
      <x:c r="M19" s="24" t="n">
        <x:f>ABS(G19-F19)/MAX(ABS(F19),1E-15)</x:f>
        <x:v>0.04655816698387115</x:v>
      </x:c>
      <x:c r="N19" s="22" t="n">
        <x:f>IF(ABS(D19-C19)&lt;1E-15,IF(ABS(E19-C19)&lt;1E-15,1,1E116),(E19-C19)/(D19-C19))</x:f>
        <x:v>1.2105424686696638</x:v>
      </x:c>
      <x:c r="O19" s="22" t="n">
        <x:f>IF(ABS(H19)&lt;1E-15,IF(ABS(I19)&lt;1E-15,1,1E116),I19/H19)</x:f>
        <x:v>1.2231250154690994</x:v>
      </x:c>
      <x:c r="P19" s="22" t="n">
        <x:f>G19-F19</x:f>
        <x:v>517.9130495285826</x:v>
      </x:c>
      <x:c r="Q19" s="19" t="str">
        <x:f>IF(AND(L19&gt;=0.8,L19&lt;=1.25),"Close (±25%)",IF(AND(L19&gt;=0.5,L19&lt;=2),"Same order (×0.5–2)",IF(AND(L19&gt;=0.1,L19&lt;=10),"Notable deviation","Major deviation")))</x:f>
        <x:v>Close (±25%)</x:v>
      </x:c>
      <x:c r="R19" s="19" t="str"/>
    </x:row>
    <x:row r="20" ht="15" hidden="0" customHeight="1">
      <x:c r="A20" s="19" t="str">
        <x:v>F19</x:v>
      </x:c>
      <x:c r="B20" s="19" t="str">
        <x:v>Hybrid</x:v>
      </x:c>
      <x:c r="C20" s="22" t="n">
        <x:v>1900</x:v>
      </x:c>
      <x:c r="D20" s="22" t="n">
        <x:v>1901.6</x:v>
      </x:c>
      <x:c r="E20" s="22" t="n">
        <x:v>1901.516214931514</x:v>
      </x:c>
      <x:c r="F20" s="22" t="n">
        <x:v>1903.3</x:v>
      </x:c>
      <x:c r="G20" s="22" t="n">
        <x:v>1903.0273467161053</x:v>
      </x:c>
      <x:c r="H20" s="22" t="n">
        <x:v>1.3518</x:v>
      </x:c>
      <x:c r="I20" s="22" t="n">
        <x:v>1.0641292464096817</x:v>
      </x:c>
      <x:c r="J20" s="22" t="n">
        <x:f>F20-C20</x:f>
        <x:v>3.2999999999999545</x:v>
      </x:c>
      <x:c r="K20" s="22" t="n">
        <x:f>G20-C20</x:f>
        <x:v>3.027346716105285</x:v>
      </x:c>
      <x:c r="L20" s="22" t="n">
        <x:f>IF(ABS(J20)&lt;1E-15,IF(ABS(K20)&lt;1E-15,1,1E117),K20/J20)</x:f>
        <x:v>0.9173777927591898</x:v>
      </x:c>
      <x:c r="M20" s="24" t="n">
        <x:f>ABS(G20-F20)/MAX(ABS(F20),1E-15)</x:f>
        <x:v>0.0001432529206613091</x:v>
      </x:c>
      <x:c r="N20" s="22" t="n">
        <x:f>IF(ABS(D20-C20)&lt;1E-15,IF(ABS(E20-C20)&lt;1E-15,1,1E117),(E20-C20)/(D20-C20))</x:f>
        <x:v>0.9476343321963127</x:v>
      </x:c>
      <x:c r="O20" s="22" t="n">
        <x:f>IF(ABS(H20)&lt;1E-15,IF(ABS(I20)&lt;1E-15,1,1E117),I20/H20)</x:f>
        <x:v>0.7871942938376104</x:v>
      </x:c>
      <x:c r="P20" s="22" t="n">
        <x:f>G20-F20</x:f>
        <x:v>-0.2726532838946696</x:v>
      </x:c>
      <x:c r="Q20" s="19" t="str">
        <x:f>IF(AND(L20&gt;=0.8,L20&lt;=1.25),"Close (±25%)",IF(AND(L20&gt;=0.5,L20&lt;=2),"Same order (×0.5–2)",IF(AND(L20&gt;=0.1,L20&lt;=10),"Notable deviation","Major deviation")))</x:f>
        <x:v>Close (±25%)</x:v>
      </x:c>
      <x:c r="R20" s="19" t="str"/>
    </x:row>
    <x:row r="21" ht="15" hidden="0" customHeight="1">
      <x:c r="A21" s="19" t="str">
        <x:v>F20</x:v>
      </x:c>
      <x:c r="B21" s="19" t="str">
        <x:v>Hybrid</x:v>
      </x:c>
      <x:c r="C21" s="22" t="n">
        <x:v>2000</x:v>
      </x:c>
      <x:c r="D21" s="22" t="n">
        <x:v>2145.1</x:v>
      </x:c>
      <x:c r="E21" s="22" t="n">
        <x:v>2113.014917091181</x:v>
      </x:c>
      <x:c r="F21" s="22" t="n">
        <x:v>10084</x:v>
      </x:c>
      <x:c r="G21" s="22" t="n">
        <x:v>9330.191419003237</x:v>
      </x:c>
      <x:c r="H21" s="22" t="n">
        <x:v>7367</x:v>
      </x:c>
      <x:c r="I21" s="22" t="n">
        <x:v>5361.966874938868</x:v>
      </x:c>
      <x:c r="J21" s="22" t="n">
        <x:f>F21-C21</x:f>
        <x:v>8084</x:v>
      </x:c>
      <x:c r="K21" s="22" t="n">
        <x:f>G21-C21</x:f>
        <x:v>7330.191419003237</x:v>
      </x:c>
      <x:c r="L21" s="22" t="n">
        <x:f>IF(ABS(J21)&lt;1E-15,IF(ABS(K21)&lt;1E-15,1,1E118),K21/J21)</x:f>
        <x:v>0.9067530206584904</x:v>
      </x:c>
      <x:c r="M21" s="24" t="n">
        <x:f>ABS(G21-F21)/MAX(ABS(F21),1E-15)</x:f>
        <x:v>0.0747529334586239</x:v>
      </x:c>
      <x:c r="N21" s="22" t="n">
        <x:f>IF(ABS(D21-C21)&lt;1E-15,IF(ABS(E21-C21)&lt;1E-15,1,1E118),(E21-C21)/(D21-C21))</x:f>
        <x:v>0.7788760654113093</x:v>
      </x:c>
      <x:c r="O21" s="22" t="n">
        <x:f>IF(ABS(H21)&lt;1E-15,IF(ABS(I21)&lt;1E-15,1,1E118),I21/H21)</x:f>
        <x:v>0.727835872802887</x:v>
      </x:c>
      <x:c r="P21" s="22" t="n">
        <x:f>G21-F21</x:f>
        <x:v>-753.8085809967633</x:v>
      </x:c>
      <x:c r="Q21" s="19" t="str">
        <x:f>IF(AND(L21&gt;=0.8,L21&lt;=1.25),"Close (±25%)",IF(AND(L21&gt;=0.5,L21&lt;=2),"Same order (×0.5–2)",IF(AND(L21&gt;=0.1,L21&lt;=10),"Notable deviation","Major deviation")))</x:f>
        <x:v>Close (±25%)</x:v>
      </x:c>
      <x:c r="R21" s="19" t="str"/>
    </x:row>
    <x:row r="22" ht="15" hidden="0" customHeight="1">
      <x:c r="A22" s="19" t="str">
        <x:v>F21</x:v>
      </x:c>
      <x:c r="B22" s="19" t="str">
        <x:v>Hybrid</x:v>
      </x:c>
      <x:c r="C22" s="22" t="n">
        <x:v>2100</x:v>
      </x:c>
      <x:c r="D22" s="22" t="n">
        <x:v>3916.6</x:v>
      </x:c>
      <x:c r="E22" s="22" t="n">
        <x:v>2867.525387203684</x:v>
      </x:c>
      <x:c r="F22" s="22" t="n">
        <x:v>10589</x:v>
      </x:c>
      <x:c r="G22" s="22" t="n">
        <x:v>8632.306132021946</x:v>
      </x:c>
      <x:c r="H22" s="22" t="n">
        <x:v>5423</x:v>
      </x:c>
      <x:c r="I22" s="22" t="n">
        <x:v>5657.3363452101</x:v>
      </x:c>
      <x:c r="J22" s="22" t="n">
        <x:f>F22-C22</x:f>
        <x:v>8489</x:v>
      </x:c>
      <x:c r="K22" s="22" t="n">
        <x:f>G22-C22</x:f>
        <x:v>6532.306132021946</x:v>
      </x:c>
      <x:c r="L22" s="22" t="n">
        <x:f>IF(ABS(J22)&lt;1E-15,IF(ABS(K22)&lt;1E-15,1,1E119),K22/J22)</x:f>
        <x:v>0.7695024304419774</x:v>
      </x:c>
      <x:c r="M22" s="24" t="n">
        <x:f>ABS(G22-F22)/MAX(ABS(F22),1E-15)</x:f>
        <x:v>0.18478551968817208</x:v>
      </x:c>
      <x:c r="N22" s="22" t="n">
        <x:f>IF(ABS(D22-C22)&lt;1E-15,IF(ABS(E22-C22)&lt;1E-15,1,1E119),(E22-C22)/(D22-C22))</x:f>
        <x:v>0.4225065436550062</x:v>
      </x:c>
      <x:c r="O22" s="22" t="n">
        <x:f>IF(ABS(H22)&lt;1E-15,IF(ABS(I22)&lt;1E-15,1,1E119),I22/H22)</x:f>
        <x:v>1.0432115702028582</x:v>
      </x:c>
      <x:c r="P22" s="22" t="n">
        <x:f>G22-F22</x:f>
        <x:v>-1956.6938679780542</x:v>
      </x:c>
      <x:c r="Q22" s="19" t="str">
        <x:f>IF(AND(L22&gt;=0.8,L22&lt;=1.25),"Close (±25%)",IF(AND(L22&gt;=0.5,L22&lt;=2),"Same order (×0.5–2)",IF(AND(L22&gt;=0.1,L22&lt;=10),"Notable deviation","Major deviation")))</x:f>
        <x:v>Same order (×0.5–2)</x:v>
      </x:c>
      <x:c r="R22" s="19" t="str"/>
    </x:row>
    <x:row r="23" ht="15" hidden="0" customHeight="1">
      <x:c r="A23" s="19" t="str">
        <x:v>F22</x:v>
      </x:c>
      <x:c r="B23" s="19" t="str">
        <x:v>Hybrid</x:v>
      </x:c>
      <x:c r="C23" s="22" t="n">
        <x:v>2200</x:v>
      </x:c>
      <x:c r="D23" s="22" t="n">
        <x:v>2226.9</x:v>
      </x:c>
      <x:c r="E23" s="22" t="n">
        <x:v>2223.0565282411662</x:v>
      </x:c>
      <x:c r="F23" s="22" t="n">
        <x:v>2311.4</x:v>
      </x:c>
      <x:c r="G23" s="22" t="n">
        <x:v>2296.060289818022</x:v>
      </x:c>
      <x:c r="H23" s="22" t="n">
        <x:v>56.703</x:v>
      </x:c>
      <x:c r="I23" s="22" t="n">
        <x:v>60.81765433114422</x:v>
      </x:c>
      <x:c r="J23" s="22" t="n">
        <x:f>F23-C23</x:f>
        <x:v>111.40000000000009</x:v>
      </x:c>
      <x:c r="K23" s="22" t="n">
        <x:f>G23-C23</x:f>
        <x:v>96.06028981802183</x:v>
      </x:c>
      <x:c r="L23" s="22" t="n">
        <x:f>IF(ABS(J23)&lt;1E-15,IF(ABS(K23)&lt;1E-15,1,1E120),K23/J23)</x:f>
        <x:v>0.8623006267326908</x:v>
      </x:c>
      <x:c r="M23" s="24" t="n">
        <x:f>ABS(G23-F23)/MAX(ABS(F23),1E-15)</x:f>
        <x:v>0.0066365450298426325</x:v>
      </x:c>
      <x:c r="N23" s="22" t="n">
        <x:f>IF(ABS(D23-C23)&lt;1E-15,IF(ABS(E23-C23)&lt;1E-15,1,1E120),(E23-C23)/(D23-C23))</x:f>
        <x:v>0.8571200089652846</x:v>
      </x:c>
      <x:c r="O23" s="22" t="n">
        <x:f>IF(ABS(H23)&lt;1E-15,IF(ABS(I23)&lt;1E-15,1,1E120),I23/H23)</x:f>
        <x:v>1.0725650200367567</x:v>
      </x:c>
      <x:c r="P23" s="22" t="n">
        <x:f>G23-F23</x:f>
        <x:v>-15.339710181978262</x:v>
      </x:c>
      <x:c r="Q23" s="19" t="str">
        <x:f>IF(AND(L23&gt;=0.8,L23&lt;=1.25),"Close (±25%)",IF(AND(L23&gt;=0.5,L23&lt;=2),"Same order (×0.5–2)",IF(AND(L23&gt;=0.1,L23&lt;=10),"Notable deviation","Major deviation")))</x:f>
        <x:v>Close (±25%)</x:v>
      </x:c>
      <x:c r="R23" s="19" t="str"/>
    </x:row>
    <x:row r="24" ht="15" hidden="0" customHeight="1">
      <x:c r="A24" s="19" t="str">
        <x:v>F23</x:v>
      </x:c>
      <x:c r="B24" s="19" t="str">
        <x:v>Composition</x:v>
      </x:c>
      <x:c r="C24" s="22" t="n">
        <x:v>2300</x:v>
      </x:c>
      <x:c r="D24" s="22" t="n">
        <x:v>2629.5</x:v>
      </x:c>
      <x:c r="E24" s="22" t="n">
        <x:v>2629.819686104267</x:v>
      </x:c>
      <x:c r="F24" s="22" t="n">
        <x:v>2634.6</x:v>
      </x:c>
      <x:c r="G24" s="22" t="n">
        <x:v>2634.3956742733335</x:v>
      </x:c>
      <x:c r="H24" s="22" t="n">
        <x:v>5.7748</x:v>
      </x:c>
      <x:c r="I24" s="22" t="n">
        <x:v>3.8155915717215185</x:v>
      </x:c>
      <x:c r="J24" s="22" t="n">
        <x:f>F24-C24</x:f>
        <x:v>334.5999999999999</x:v>
      </x:c>
      <x:c r="K24" s="22" t="n">
        <x:f>G24-C24</x:f>
        <x:v>334.3956742733335</x:v>
      </x:c>
      <x:c r="L24" s="22" t="n">
        <x:f>IF(ABS(J24)&lt;1E-15,IF(ABS(K24)&lt;1E-15,1,1E121),K24/J24)</x:f>
        <x:v>0.9993893433154022</x:v>
      </x:c>
      <x:c r="M24" s="24" t="n">
        <x:f>ABS(G24-F24)/MAX(ABS(F24),1E-15)</x:f>
        <x:v>0.00007755474328794176</x:v>
      </x:c>
      <x:c r="N24" s="22" t="n">
        <x:f>IF(ABS(D24-C24)&lt;1E-15,IF(ABS(E24-C24)&lt;1E-15,1,1E121),(E24-C24)/(D24-C24))</x:f>
        <x:v>1.0009702157944371</x:v>
      </x:c>
      <x:c r="O24" s="22" t="n">
        <x:f>IF(ABS(H24)&lt;1E-15,IF(ABS(I24)&lt;1E-15,1,1E121),I24/H24)</x:f>
        <x:v>0.660731379739821</x:v>
      </x:c>
      <x:c r="P24" s="22" t="n">
        <x:f>G24-F24</x:f>
        <x:v>-0.20432572666641136</x:v>
      </x:c>
      <x:c r="Q24" s="19" t="str">
        <x:f>IF(AND(L24&gt;=0.8,L24&lt;=1.25),"Close (±25%)",IF(AND(L24&gt;=0.5,L24&lt;=2),"Same order (×0.5–2)",IF(AND(L24&gt;=0.1,L24&lt;=10),"Notable deviation","Major deviation")))</x:f>
        <x:v>Close (±25%)</x:v>
      </x:c>
      <x:c r="R24" s="19" t="str"/>
    </x:row>
    <x:row r="25" ht="15" hidden="0" customHeight="1">
      <x:c r="A25" s="19" t="str">
        <x:v>F24</x:v>
      </x:c>
      <x:c r="B25" s="19" t="str">
        <x:v>Composition</x:v>
      </x:c>
      <x:c r="C25" s="22" t="n">
        <x:v>2400</x:v>
      </x:c>
      <x:c r="D25" s="22" t="n">
        <x:v>2510.4</x:v>
      </x:c>
      <x:c r="E25" s="22" t="n">
        <x:v>2515.3271281436755</x:v>
      </x:c>
      <x:c r="F25" s="22" t="n">
        <x:v>2552.5</x:v>
      </x:c>
      <x:c r="G25" s="22" t="n">
        <x:v>2543.8757834801004</x:v>
      </x:c>
      <x:c r="H25" s="22" t="n">
        <x:v>35.929</x:v>
      </x:c>
      <x:c r="I25" s="22" t="n">
        <x:v>32.20372626131989</x:v>
      </x:c>
      <x:c r="J25" s="22" t="n">
        <x:f>F25-C25</x:f>
        <x:v>152.5</x:v>
      </x:c>
      <x:c r="K25" s="22" t="n">
        <x:f>G25-C25</x:f>
        <x:v>143.87578348010038</x:v>
      </x:c>
      <x:c r="L25" s="22" t="n">
        <x:f>IF(ABS(J25)&lt;1E-15,IF(ABS(K25)&lt;1E-15,1,1E122),K25/J25)</x:f>
        <x:v>0.9434477605252484</x:v>
      </x:c>
      <x:c r="M25" s="24" t="n">
        <x:f>ABS(G25-F25)/MAX(ABS(F25),1E-15)</x:f>
        <x:v>0.0033787332105385385</x:v>
      </x:c>
      <x:c r="N25" s="22" t="n">
        <x:f>IF(ABS(D25-C25)&lt;1E-15,IF(ABS(E25-C25)&lt;1E-15,1,1E122),(E25-C25)/(D25-C25))</x:f>
        <x:v>1.0446297839101033</x:v>
      </x:c>
      <x:c r="O25" s="22" t="n">
        <x:f>IF(ABS(H25)&lt;1E-15,IF(ABS(I25)&lt;1E-15,1,1E122),I25/H25)</x:f>
        <x:v>0.8963156854162345</x:v>
      </x:c>
      <x:c r="P25" s="22" t="n">
        <x:f>G25-F25</x:f>
        <x:v>-8.624216519899619</x:v>
      </x:c>
      <x:c r="Q25" s="19" t="str">
        <x:f>IF(AND(L25&gt;=0.8,L25&lt;=1.25),"Close (±25%)",IF(AND(L25&gt;=0.5,L25&lt;=2),"Same order (×0.5–2)",IF(AND(L25&gt;=0.1,L25&lt;=10),"Notable deviation","Major deviation")))</x:f>
        <x:v>Close (±25%)</x:v>
      </x:c>
      <x:c r="R25" s="19" t="str"/>
    </x:row>
    <x:row r="26" ht="15" hidden="0" customHeight="1">
      <x:c r="A26" s="19" t="str">
        <x:v>F25</x:v>
      </x:c>
      <x:c r="B26" s="19" t="str">
        <x:v>Composition</x:v>
      </x:c>
      <x:c r="C26" s="22" t="n">
        <x:v>2500</x:v>
      </x:c>
      <x:c r="D26" s="22" t="n">
        <x:v>2668.8</x:v>
      </x:c>
      <x:c r="E26" s="22" t="n">
        <x:v>2688.685458449153</x:v>
      </x:c>
      <x:c r="F26" s="22" t="n">
        <x:v>2698.9</x:v>
      </x:c>
      <x:c r="G26" s="22" t="n">
        <x:v>2699.6760439665063</x:v>
      </x:c>
      <x:c r="H26" s="22" t="n">
        <x:v>7.4679</x:v>
      </x:c>
      <x:c r="I26" s="22" t="n">
        <x:v>2.986968132477153</x:v>
      </x:c>
      <x:c r="J26" s="22" t="n">
        <x:f>F26-C26</x:f>
        <x:v>198.9000000000001</x:v>
      </x:c>
      <x:c r="K26" s="22" t="n">
        <x:f>G26-C26</x:f>
        <x:v>199.6760439665063</x:v>
      </x:c>
      <x:c r="L26" s="22" t="n">
        <x:f>IF(ABS(J26)&lt;1E-15,IF(ABS(K26)&lt;1E-15,1,1E123),K26/J26)</x:f>
        <x:v>1.0039016790674018</x:v>
      </x:c>
      <x:c r="M26" s="24" t="n">
        <x:f>ABS(G26-F26)/MAX(ABS(F26),1E-15)</x:f>
        <x:v>0.00028754083756575723</x:v>
      </x:c>
      <x:c r="N26" s="22" t="n">
        <x:f>IF(ABS(D26-C26)&lt;1E-15,IF(ABS(E26-C26)&lt;1E-15,1,1E123),(E26-C26)/(D26-C26))</x:f>
        <x:v>1.1178048486324217</x:v>
      </x:c>
      <x:c r="O26" s="22" t="n">
        <x:f>IF(ABS(H26)&lt;1E-15,IF(ABS(I26)&lt;1E-15,1,1E123),I26/H26)</x:f>
        <x:v>0.39997430770057885</x:v>
      </x:c>
      <x:c r="P26" s="22" t="n">
        <x:f>G26-F26</x:f>
        <x:v>0.7760439665062222</x:v>
      </x:c>
      <x:c r="Q26" s="19" t="str">
        <x:f>IF(AND(L26&gt;=0.8,L26&lt;=1.25),"Close (±25%)",IF(AND(L26&gt;=0.5,L26&lt;=2),"Same order (×0.5–2)",IF(AND(L26&gt;=0.1,L26&lt;=10),"Notable deviation","Major deviation")))</x:f>
        <x:v>Close (±25%)</x:v>
      </x:c>
      <x:c r="R26" s="19" t="str"/>
    </x:row>
    <x:row r="27" ht="15" hidden="0" customHeight="1">
      <x:c r="A27" s="19" t="str">
        <x:v>F26</x:v>
      </x:c>
      <x:c r="B27" s="19" t="str">
        <x:v>Composition</x:v>
      </x:c>
      <x:c r="C27" s="22" t="n">
        <x:v>2600</x:v>
      </x:c>
      <x:c r="D27" s="22" t="n">
        <x:v>2700.1</x:v>
      </x:c>
      <x:c r="E27" s="22" t="n">
        <x:v>2700.1209823301215</x:v>
      </x:c>
      <x:c r="F27" s="22" t="n">
        <x:v>2703.5</x:v>
      </x:c>
      <x:c r="G27" s="22" t="n">
        <x:v>2700.2127678944644</x:v>
      </x:c>
      <x:c r="H27" s="22" t="n">
        <x:v>18.226</x:v>
      </x:c>
      <x:c r="I27" s="22" t="n">
        <x:v>0.06705269909674678</x:v>
      </x:c>
      <x:c r="J27" s="22" t="n">
        <x:f>F27-C27</x:f>
        <x:v>103.5</x:v>
      </x:c>
      <x:c r="K27" s="22" t="n">
        <x:f>G27-C27</x:f>
        <x:v>100.21276789446438</x:v>
      </x:c>
      <x:c r="L27" s="22" t="n">
        <x:f>IF(ABS(J27)&lt;1E-15,IF(ABS(K27)&lt;1E-15,1,1E124),K27/J27)</x:f>
        <x:v>0.9682393033281582</x:v>
      </x:c>
      <x:c r="M27" s="24" t="n">
        <x:f>ABS(G27-F27)/MAX(ABS(F27),1E-15)</x:f>
        <x:v>0.001215917183479054</x:v>
      </x:c>
      <x:c r="N27" s="22" t="n">
        <x:f>IF(ABS(D27-C27)&lt;1E-15,IF(ABS(E27-C27)&lt;1E-15,1,1E124),(E27-C27)/(D27-C27))</x:f>
        <x:v>1.0002096136875283</x:v>
      </x:c>
      <x:c r="O27" s="22" t="n">
        <x:f>IF(ABS(H27)&lt;1E-15,IF(ABS(I27)&lt;1E-15,1,1E124),I27/H27)</x:f>
        <x:v>0.0036789585809693178</x:v>
      </x:c>
      <x:c r="P27" s="22" t="n">
        <x:f>G27-F27</x:f>
        <x:v>-3.2872321055356224</x:v>
      </x:c>
      <x:c r="Q27" s="19" t="str">
        <x:f>IF(AND(L27&gt;=0.8,L27&lt;=1.25),"Close (±25%)",IF(AND(L27&gt;=0.5,L27&lt;=2),"Same order (×0.5–2)",IF(AND(L27&gt;=0.1,L27&lt;=10),"Notable deviation","Major deviation")))</x:f>
        <x:v>Close (±25%)</x:v>
      </x:c>
      <x:c r="R27" s="19" t="str"/>
    </x:row>
    <x:row r="28" ht="15" hidden="0" customHeight="1">
      <x:c r="A28" s="19" t="str">
        <x:v>F27</x:v>
      </x:c>
      <x:c r="B28" s="19" t="str">
        <x:v>Composition</x:v>
      </x:c>
      <x:c r="C28" s="22" t="n">
        <x:v>2700</x:v>
      </x:c>
      <x:c r="D28" s="22" t="n">
        <x:v>2703.3</x:v>
      </x:c>
      <x:c r="E28" s="22" t="n">
        <x:v>2704.1197321729783</x:v>
      </x:c>
      <x:c r="F28" s="22" t="n">
        <x:v>3004.6</x:v>
      </x:c>
      <x:c r="G28" s="22" t="n">
        <x:v>3054.8216792360713</x:v>
      </x:c>
      <x:c r="H28" s="22" t="n">
        <x:v>139.07</x:v>
      </x:c>
      <x:c r="I28" s="22" t="n">
        <x:v>73.97975529887465</x:v>
      </x:c>
      <x:c r="J28" s="22" t="n">
        <x:f>F28-C28</x:f>
        <x:v>304.5999999999999</x:v>
      </x:c>
      <x:c r="K28" s="22" t="n">
        <x:f>G28-C28</x:f>
        <x:v>354.8216792360713</x:v>
      </x:c>
      <x:c r="L28" s="22" t="n">
        <x:f>IF(ABS(J28)&lt;1E-15,IF(ABS(K28)&lt;1E-15,1,1E125),K28/J28)</x:f>
        <x:v>1.1648774761525653</x:v>
      </x:c>
      <x:c r="M28" s="24" t="n">
        <x:f>ABS(G28-F28)/MAX(ABS(F28),1E-15)</x:f>
        <x:v>0.016714930185739</x:v>
      </x:c>
      <x:c r="N28" s="22" t="n">
        <x:f>IF(ABS(D28-C28)&lt;1E-15,IF(ABS(E28-C28)&lt;1E-15,1,1E125),(E28-C28)/(D28-C28))</x:f>
        <x:v>1.2484036887812264</x:v>
      </x:c>
      <x:c r="O28" s="22" t="n">
        <x:f>IF(ABS(H28)&lt;1E-15,IF(ABS(I28)&lt;1E-15,1,1E125),I28/H28)</x:f>
        <x:v>0.5319605615795977</x:v>
      </x:c>
      <x:c r="P28" s="22" t="n">
        <x:f>G28-F28</x:f>
        <x:v>50.221679236071395</x:v>
      </x:c>
      <x:c r="Q28" s="19" t="str">
        <x:f>IF(AND(L28&gt;=0.8,L28&lt;=1.25),"Close (±25%)",IF(AND(L28&gt;=0.5,L28&lt;=2),"Same order (×0.5–2)",IF(AND(L28&gt;=0.1,L28&lt;=10),"Notable deviation","Major deviation")))</x:f>
        <x:v>Close (±25%)</x:v>
      </x:c>
      <x:c r="R28" s="19" t="str"/>
    </x:row>
    <x:row r="29" ht="15" hidden="0" customHeight="1">
      <x:c r="A29" s="19" t="str">
        <x:v>F28</x:v>
      </x:c>
      <x:c r="B29" s="19" t="str">
        <x:v>Composition</x:v>
      </x:c>
      <x:c r="C29" s="22" t="n">
        <x:v>2800</x:v>
      </x:c>
      <x:c r="D29" s="22" t="n">
        <x:v>3169.3</x:v>
      </x:c>
      <x:c r="E29" s="22" t="n">
        <x:v>3169.5690940185714</x:v>
      </x:c>
      <x:c r="F29" s="22" t="n">
        <x:v>3251.5</x:v>
      </x:c>
      <x:c r="G29" s="22" t="n">
        <x:v>3258.3576218775456</x:v>
      </x:c>
      <x:c r="H29" s="22" t="n">
        <x:v>52.321</x:v>
      </x:c>
      <x:c r="I29" s="22" t="n">
        <x:v>58.097522077494126</x:v>
      </x:c>
      <x:c r="J29" s="22" t="n">
        <x:f>F29-C29</x:f>
        <x:v>451.5</x:v>
      </x:c>
      <x:c r="K29" s="22" t="n">
        <x:f>G29-C29</x:f>
        <x:v>458.3576218775456</x:v>
      </x:c>
      <x:c r="L29" s="22" t="n">
        <x:f>IF(ABS(J29)&lt;1E-15,IF(ABS(K29)&lt;1E-15,1,1E126),K29/J29)</x:f>
        <x:v>1.015188531290245</x:v>
      </x:c>
      <x:c r="M29" s="24" t="n">
        <x:f>ABS(G29-F29)/MAX(ABS(F29),1E-15)</x:f>
        <x:v>0.002109064086589459</x:v>
      </x:c>
      <x:c r="N29" s="22" t="n">
        <x:f>IF(ABS(D29-C29)&lt;1E-15,IF(ABS(E29-C29)&lt;1E-15,1,1E126),(E29-C29)/(D29-C29))</x:f>
        <x:v>1.0007286596766076</x:v>
      </x:c>
      <x:c r="O29" s="22" t="n">
        <x:f>IF(ABS(H29)&lt;1E-15,IF(ABS(I29)&lt;1E-15,1,1E126),I29/H29)</x:f>
        <x:v>1.1104054218668247</x:v>
      </x:c>
      <x:c r="P29" s="22" t="n">
        <x:f>G29-F29</x:f>
        <x:v>6.8576218775456255</x:v>
      </x:c>
      <x:c r="Q29" s="19" t="str">
        <x:f>IF(AND(L29&gt;=0.8,L29&lt;=1.25),"Close (±25%)",IF(AND(L29&gt;=0.5,L29&lt;=2),"Same order (×0.5–2)",IF(AND(L29&gt;=0.1,L29&lt;=10),"Notable deviation","Major deviation")))</x:f>
        <x:v>Close (±25%)</x:v>
      </x:c>
      <x:c r="R29" s="19" t="str"/>
    </x:row>
    <x:row r="30" ht="15" hidden="0" customHeight="1">
      <x:c r="A30" s="19" t="str">
        <x:v>F29</x:v>
      </x:c>
      <x:c r="B30" s="19" t="str">
        <x:v>Composition</x:v>
      </x:c>
      <x:c r="C30" s="22" t="n">
        <x:v>2900</x:v>
      </x:c>
      <x:c r="D30" s="22" t="n">
        <x:v>3227.4</x:v>
      </x:c>
      <x:c r="E30" s="22" t="n">
        <x:v>3278.072771638337</x:v>
      </x:c>
      <x:c r="F30" s="22" t="n">
        <x:v>357840</x:v>
      </x:c>
      <x:c r="G30" s="22" t="n">
        <x:v>445515.4471642074</x:v>
      </x:c>
      <x:c r="H30" s="22" t="n">
        <x:v>824600</x:v>
      </x:c>
      <x:c r="I30" s="22" t="n">
        <x:v>963382.4682262253</x:v>
      </x:c>
      <x:c r="J30" s="22" t="n">
        <x:f>F30-C30</x:f>
        <x:v>354940</x:v>
      </x:c>
      <x:c r="K30" s="22" t="n">
        <x:f>G30-C30</x:f>
        <x:v>442615.4471642074</x:v>
      </x:c>
      <x:c r="L30" s="22" t="n">
        <x:f>IF(ABS(J30)&lt;1E-15,IF(ABS(K30)&lt;1E-15,1,1E127),K30/J30)</x:f>
        <x:v>1.2470148395903742</x:v>
      </x:c>
      <x:c r="M30" s="24" t="n">
        <x:f>ABS(G30-F30)/MAX(ABS(F30),1E-15)</x:f>
        <x:v>0.24501298670972335</x:v>
      </x:c>
      <x:c r="N30" s="22" t="n">
        <x:f>IF(ABS(D30-C30)&lt;1E-15,IF(ABS(E30-C30)&lt;1E-15,1,1E127),(E30-C30)/(D30-C30))</x:f>
        <x:v>1.1547732792863075</x:v>
      </x:c>
      <x:c r="O30" s="22" t="n">
        <x:f>IF(ABS(H30)&lt;1E-15,IF(ABS(I30)&lt;1E-15,1,1E127),I30/H30)</x:f>
        <x:v>1.1683027749529775</x:v>
      </x:c>
      <x:c r="P30" s="22" t="n">
        <x:f>G30-F30</x:f>
        <x:v>87675.4471642074</x:v>
      </x:c>
      <x:c r="Q30" s="19" t="str">
        <x:f>IF(AND(L30&gt;=0.8,L30&lt;=1.25),"Close (±25%)",IF(AND(L30&gt;=0.5,L30&lt;=2),"Same order (×0.5–2)",IF(AND(L30&gt;=0.1,L30&lt;=10),"Notable deviation","Major deviation")))</x:f>
        <x:v>Close (±25%)</x:v>
      </x:c>
      <x:c r="R30" s="19" t="str"/>
    </x:row>
    <x:row r="31" ht="15" hidden="0" customHeight="1">
      <x:c r="A31" s="19" t="str">
        <x:v>F30</x:v>
      </x:c>
      <x:c r="B31" s="19" t="str">
        <x:v>Composition</x:v>
      </x:c>
      <x:c r="C31" s="22" t="n">
        <x:v>3000</x:v>
      </x:c>
      <x:c r="D31" s="22" t="n">
        <x:v>3601.1</x:v>
      </x:c>
      <x:c r="E31" s="22" t="n">
        <x:v>3535.98381665175</x:v>
      </x:c>
      <x:c r="F31" s="22" t="n">
        <x:v>4345.5</x:v>
      </x:c>
      <x:c r="G31" s="22" t="n">
        <x:v>4459.353032412864</x:v>
      </x:c>
      <x:c r="H31" s="22" t="n">
        <x:v>690.83</x:v>
      </x:c>
      <x:c r="I31" s="22" t="n">
        <x:v>633.1185679821914</x:v>
      </x:c>
      <x:c r="J31" s="22" t="n">
        <x:f>F31-C31</x:f>
        <x:v>1345.5</x:v>
      </x:c>
      <x:c r="K31" s="22" t="n">
        <x:f>G31-C31</x:f>
        <x:v>1459.3530324128642</x:v>
      </x:c>
      <x:c r="L31" s="22" t="n">
        <x:f>IF(ABS(J31)&lt;1E-15,IF(ABS(K31)&lt;1E-15,1,1E128),K31/J31)</x:f>
        <x:v>1.0846176383596167</x:v>
      </x:c>
      <x:c r="M31" s="24" t="n">
        <x:f>ABS(G31-F31)/MAX(ABS(F31),1E-15)</x:f>
        <x:v>0.026200214569753584</x:v>
      </x:c>
      <x:c r="N31" s="22" t="n">
        <x:f>IF(ABS(D31-C31)&lt;1E-15,IF(ABS(E31-C31)&lt;1E-15,1,1E128),(E31-C31)/(D31-C31))</x:f>
        <x:v>0.8916716297650146</x:v>
      </x:c>
      <x:c r="O31" s="22" t="n">
        <x:f>IF(ABS(H31)&lt;1E-15,IF(ABS(I31)&lt;1E-15,1,1E128),I31/H31)</x:f>
        <x:v>0.9164607327159958</x:v>
      </x:c>
      <x:c r="P31" s="22" t="n">
        <x:f>G31-F31</x:f>
        <x:v>113.8530324128642</x:v>
      </x:c>
      <x:c r="Q31" s="19" t="str">
        <x:f>IF(AND(L31&gt;=0.8,L31&lt;=1.25),"Close (±25%)",IF(AND(L31&gt;=0.5,L31&lt;=2),"Same order (×0.5–2)",IF(AND(L31&gt;=0.1,L31&lt;=10),"Notable deviation","Major deviation")))</x:f>
        <x:v>Close (±25%)</x:v>
      </x:c>
      <x:c r="R31" s="19" t="str"/>
    </x:row>
  </x:sheetData>
  <x:conditionalFormatting sqref="L2:L3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Q2:Q31">
    <x:cfRule type="expression" dxfId="3" priority="2">
      <x:formula>Q2="Major deviation"</x:formula>
    </x:cfRule>
    <x:cfRule type="expression" dxfId="4" priority="3">
      <x:formula>Q2="Notable deviation"</x:formula>
    </x:cfRule>
    <x:cfRule type="expression" dxfId="5" priority="4">
      <x:formula>Q2="Close (±25%)"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9.380000114440918" hidden="0" customWidth="1"/>
    <x:col min="3" max="3" width="9.380000114440918" hidden="0" customWidth="1"/>
    <x:col min="4" max="4" width="11.380000114440918" hidden="0" customWidth="1"/>
    <x:col min="5" max="5" width="9.380000114440918" hidden="0" customWidth="1"/>
    <x:col min="6" max="6" width="9.380000114440918" hidden="0" customWidth="1"/>
    <x:col min="7" max="7" width="11.130000114440918" hidden="0" customWidth="1"/>
    <x:col min="8" max="8" width="9.380000114440918" hidden="0" customWidth="1"/>
  </x:cols>
  <x:sheetData>
    <x:row r="1" ht="15" hidden="0" customHeight="1">
      <x:c r="A1" s="13" t="str">
        <x:v>Function</x:v>
      </x:c>
      <x:c r="B1" s="13" t="str">
        <x:v>Optimum</x:v>
      </x:c>
      <x:c r="C1" s="13" t="str">
        <x:v>SCHO Best</x:v>
      </x:c>
      <x:c r="D1" s="13" t="str">
        <x:v>SCHO Average</x:v>
      </x:c>
      <x:c r="E1" s="13" t="str">
        <x:v>SCHO STD</x:v>
      </x:c>
      <x:c r="F1" s="13" t="str">
        <x:v>GWO Best</x:v>
      </x:c>
      <x:c r="G1" s="13" t="str">
        <x:v>GWO Average</x:v>
      </x:c>
      <x:c r="H1" s="13" t="str">
        <x:v>GWO STD</x:v>
      </x:c>
    </x:row>
    <x:row r="2" ht="15" hidden="0" customHeight="1">
      <x:c r="A2" t="str">
        <x:v>F1</x:v>
      </x:c>
      <x:c r="B2" s="26" t="n">
        <x:v>100</x:v>
      </x:c>
      <x:c r="C2" s="26" t="n">
        <x:v>1127800</x:v>
      </x:c>
      <x:c r="D2" s="26" t="n">
        <x:v>9777200</x:v>
      </x:c>
      <x:c r="E2" s="26" t="n">
        <x:v>10876000</x:v>
      </x:c>
      <x:c r="F2" s="26" t="n">
        <x:v>877680</x:v>
      </x:c>
      <x:c r="G2" s="26" t="n">
        <x:v>10634000</x:v>
      </x:c>
      <x:c r="H2" s="26" t="n">
        <x:v>7455800</x:v>
      </x:c>
    </x:row>
    <x:row r="3" ht="15" hidden="0" customHeight="1">
      <x:c r="A3" t="str">
        <x:v>F2</x:v>
      </x:c>
      <x:c r="B3" s="26" t="n">
        <x:v>200</x:v>
      </x:c>
      <x:c r="C3" s="26" t="n">
        <x:v>1469600</x:v>
      </x:c>
      <x:c r="D3" s="26" t="n">
        <x:v>261840000</x:v>
      </x:c>
      <x:c r="E3" s="26" t="n">
        <x:v>413190000</x:v>
      </x:c>
      <x:c r="F3" s="26" t="n">
        <x:v>13200</x:v>
      </x:c>
      <x:c r="G3" s="26" t="n">
        <x:v>112150000</x:v>
      </x:c>
      <x:c r="H3" s="26" t="n">
        <x:v>318470000</x:v>
      </x:c>
    </x:row>
    <x:row r="4" ht="15" hidden="0" customHeight="1">
      <x:c r="A4" t="str">
        <x:v>F3</x:v>
      </x:c>
      <x:c r="B4" s="26" t="n">
        <x:v>300</x:v>
      </x:c>
      <x:c r="C4" s="26" t="n">
        <x:v>1471.2</x:v>
      </x:c>
      <x:c r="D4" s="26" t="n">
        <x:v>11682</x:v>
      </x:c>
      <x:c r="E4" s="26" t="n">
        <x:v>6403.2</x:v>
      </x:c>
      <x:c r="F4" s="26" t="n">
        <x:v>1363.7</x:v>
      </x:c>
      <x:c r="G4" s="26" t="n">
        <x:v>14029</x:v>
      </x:c>
      <x:c r="H4" s="26" t="n">
        <x:v>7311.9</x:v>
      </x:c>
    </x:row>
    <x:row r="5" ht="15" hidden="0" customHeight="1">
      <x:c r="A5" t="str">
        <x:v>F4</x:v>
      </x:c>
      <x:c r="B5" s="26" t="n">
        <x:v>400</x:v>
      </x:c>
      <x:c r="C5" s="26" t="n">
        <x:v>404.69</x:v>
      </x:c>
      <x:c r="D5" s="26" t="n">
        <x:v>437.64</x:v>
      </x:c>
      <x:c r="E5" s="26" t="n">
        <x:v>28.354</x:v>
      </x:c>
      <x:c r="F5" s="26" t="n">
        <x:v>409.07</x:v>
      </x:c>
      <x:c r="G5" s="26" t="n">
        <x:v>448.7</x:v>
      </x:c>
      <x:c r="H5" s="26" t="n">
        <x:v>80.879</x:v>
      </x:c>
    </x:row>
    <x:row r="6" ht="15" hidden="0" customHeight="1">
      <x:c r="A6" t="str">
        <x:v>F5</x:v>
      </x:c>
      <x:c r="B6" s="26" t="n">
        <x:v>500</x:v>
      </x:c>
      <x:c r="C6" s="26" t="n">
        <x:v>520.28</x:v>
      </x:c>
      <x:c r="D6" s="26" t="n">
        <x:v>520.47</x:v>
      </x:c>
      <x:c r="E6" s="26" t="n">
        <x:v>0.10998</x:v>
      </x:c>
      <x:c r="F6" s="26" t="n">
        <x:v>520.28</x:v>
      </x:c>
      <x:c r="G6" s="26" t="n">
        <x:v>520.53</x:v>
      </x:c>
      <x:c r="H6" s="26" t="n">
        <x:v>0.10816</x:v>
      </x:c>
    </x:row>
    <x:row r="7" ht="15" hidden="0" customHeight="1">
      <x:c r="A7" t="str">
        <x:v>F6</x:v>
      </x:c>
      <x:c r="B7" s="26" t="n">
        <x:v>600</x:v>
      </x:c>
      <x:c r="C7" s="26" t="n">
        <x:v>601.47</x:v>
      </x:c>
      <x:c r="D7" s="26" t="n">
        <x:v>605.21</x:v>
      </x:c>
      <x:c r="E7" s="26" t="n">
        <x:v>1.8743</x:v>
      </x:c>
      <x:c r="F7" s="26" t="n">
        <x:v>600.43</x:v>
      </x:c>
      <x:c r="G7" s="26" t="n">
        <x:v>602.93</x:v>
      </x:c>
      <x:c r="H7" s="26" t="n">
        <x:v>1.3476</x:v>
      </x:c>
    </x:row>
    <x:row r="8" ht="15" hidden="0" customHeight="1">
      <x:c r="A8" t="str">
        <x:v>F7</x:v>
      </x:c>
      <x:c r="B8" s="26" t="n">
        <x:v>700</x:v>
      </x:c>
      <x:c r="C8" s="26" t="n">
        <x:v>700.91</x:v>
      </x:c>
      <x:c r="D8" s="26" t="n">
        <x:v>708.48</x:v>
      </x:c>
      <x:c r="E8" s="26" t="n">
        <x:v>12.273</x:v>
      </x:c>
      <x:c r="F8" s="26" t="n">
        <x:v>700.32</x:v>
      </x:c>
      <x:c r="G8" s="26" t="n">
        <x:v>702.2</x:v>
      </x:c>
      <x:c r="H8" s="26" t="n">
        <x:v>5.2913</x:v>
      </x:c>
    </x:row>
    <x:row r="9" ht="15" hidden="0" customHeight="1">
      <x:c r="A9" t="str">
        <x:v>F8</x:v>
      </x:c>
      <x:c r="B9" s="26" t="n">
        <x:v>800</x:v>
      </x:c>
      <x:c r="C9" s="26" t="n">
        <x:v>805.77</x:v>
      </x:c>
      <x:c r="D9" s="26" t="n">
        <x:v>824.87</x:v>
      </x:c>
      <x:c r="E9" s="26" t="n">
        <x:v>10.142</x:v>
      </x:c>
      <x:c r="F9" s="26" t="n">
        <x:v>805.07</x:v>
      </x:c>
      <x:c r="G9" s="26" t="n">
        <x:v>814.66</x:v>
      </x:c>
      <x:c r="H9" s="26" t="n">
        <x:v>6.5709</x:v>
      </x:c>
    </x:row>
    <x:row r="10" ht="15" hidden="0" customHeight="1">
      <x:c r="A10" t="str">
        <x:v>F9</x:v>
      </x:c>
      <x:c r="B10" s="26" t="n">
        <x:v>900</x:v>
      </x:c>
      <x:c r="C10" s="26" t="n">
        <x:v>915.27</x:v>
      </x:c>
      <x:c r="D10" s="26" t="n">
        <x:v>931.54</x:v>
      </x:c>
      <x:c r="E10" s="26" t="n">
        <x:v>13.263</x:v>
      </x:c>
      <x:c r="F10" s="26" t="n">
        <x:v>907.97</x:v>
      </x:c>
      <x:c r="G10" s="26" t="n">
        <x:v>921.03</x:v>
      </x:c>
      <x:c r="H10" s="26" t="n">
        <x:v>10.719</x:v>
      </x:c>
    </x:row>
    <x:row r="11" ht="15" hidden="0" customHeight="1">
      <x:c r="A11" t="str">
        <x:v>F10</x:v>
      </x:c>
      <x:c r="B11" s="26" t="n">
        <x:v>1000</x:v>
      </x:c>
      <x:c r="C11" s="26" t="n">
        <x:v>1085.2</x:v>
      </x:c>
      <x:c r="D11" s="26" t="n">
        <x:v>1448.4</x:v>
      </x:c>
      <x:c r="E11" s="26" t="n">
        <x:v>244.38</x:v>
      </x:c>
      <x:c r="F11" s="26" t="n">
        <x:v>1122.8</x:v>
      </x:c>
      <x:c r="G11" s="26" t="n">
        <x:v>1453.6</x:v>
      </x:c>
      <x:c r="H11" s="26" t="n">
        <x:v>292.18</x:v>
      </x:c>
    </x:row>
    <x:row r="12" ht="15" hidden="0" customHeight="1">
      <x:c r="A12" t="str">
        <x:v>F11</x:v>
      </x:c>
      <x:c r="B12" s="26" t="n">
        <x:v>1100</x:v>
      </x:c>
      <x:c r="C12" s="26" t="n">
        <x:v>1195.8</x:v>
      </x:c>
      <x:c r="D12" s="26" t="n">
        <x:v>1897.8</x:v>
      </x:c>
      <x:c r="E12" s="26" t="n">
        <x:v>350.8</x:v>
      </x:c>
      <x:c r="F12" s="26" t="n">
        <x:v>1122.8</x:v>
      </x:c>
      <x:c r="G12" s="26" t="n">
        <x:v>1891.8</x:v>
      </x:c>
      <x:c r="H12" s="26" t="n">
        <x:v>403.78</x:v>
      </x:c>
    </x:row>
    <x:row r="13" ht="15" hidden="0" customHeight="1">
      <x:c r="A13" t="str">
        <x:v>F12</x:v>
      </x:c>
      <x:c r="B13" s="26" t="n">
        <x:v>1200</x:v>
      </x:c>
      <x:c r="C13" s="26" t="n">
        <x:v>1200.4</x:v>
      </x:c>
      <x:c r="D13" s="26" t="n">
        <x:v>1200.8</x:v>
      </x:c>
      <x:c r="E13" s="26" t="n">
        <x:v>0.35115</x:v>
      </x:c>
      <x:c r="F13" s="26" t="n">
        <x:v>1200.1</x:v>
      </x:c>
      <x:c r="G13" s="26" t="n">
        <x:v>1201.1</x:v>
      </x:c>
      <x:c r="H13" s="26" t="n">
        <x:v>0.76283</x:v>
      </x:c>
    </x:row>
    <x:row r="14" ht="15" hidden="0" customHeight="1">
      <x:c r="A14" t="str">
        <x:v>F13</x:v>
      </x:c>
      <x:c r="B14" s="26" t="n">
        <x:v>1300</x:v>
      </x:c>
      <x:c r="C14" s="26" t="n">
        <x:v>1300.3</x:v>
      </x:c>
      <x:c r="D14" s="26" t="n">
        <x:v>1300.5</x:v>
      </x:c>
      <x:c r="E14" s="26" t="n">
        <x:v>0.2083</x:v>
      </x:c>
      <x:c r="F14" s="26" t="n">
        <x:v>1300.2</x:v>
      </x:c>
      <x:c r="G14" s="26" t="n">
        <x:v>1300.3</x:v>
      </x:c>
      <x:c r="H14" s="26" t="n">
        <x:v>0.070961</x:v>
      </x:c>
    </x:row>
    <x:row r="15" ht="15" hidden="0" customHeight="1">
      <x:c r="A15" t="str">
        <x:v>F14</x:v>
      </x:c>
      <x:c r="B15" s="26" t="n">
        <x:v>1400</x:v>
      </x:c>
      <x:c r="C15" s="26" t="n">
        <x:v>1400.1</x:v>
      </x:c>
      <x:c r="D15" s="26" t="n">
        <x:v>1400.7</x:v>
      </x:c>
      <x:c r="E15" s="26" t="n">
        <x:v>0.97179</x:v>
      </x:c>
      <x:c r="F15" s="26" t="n">
        <x:v>1400.2</x:v>
      </x:c>
      <x:c r="G15" s="26" t="n">
        <x:v>1400.4</x:v>
      </x:c>
      <x:c r="H15" s="26" t="n">
        <x:v>0.21205</x:v>
      </x:c>
    </x:row>
    <x:row r="16" ht="15" hidden="0" customHeight="1">
      <x:c r="A16" t="str">
        <x:v>F15</x:v>
      </x:c>
      <x:c r="B16" s="26" t="n">
        <x:v>1500</x:v>
      </x:c>
      <x:c r="C16" s="26" t="n">
        <x:v>1501.7</x:v>
      </x:c>
      <x:c r="D16" s="26" t="n">
        <x:v>1507.5</x:v>
      </x:c>
      <x:c r="E16" s="26" t="n">
        <x:v>11.348</x:v>
      </x:c>
      <x:c r="F16" s="26" t="n">
        <x:v>1500.6</x:v>
      </x:c>
      <x:c r="G16" s="26" t="n">
        <x:v>1502.7</x:v>
      </x:c>
      <x:c r="H16" s="26" t="n">
        <x:v>1.1222</x:v>
      </x:c>
    </x:row>
    <x:row r="17" ht="15" hidden="0" customHeight="1">
      <x:c r="A17" t="str">
        <x:v>F16</x:v>
      </x:c>
      <x:c r="B17" s="26" t="n">
        <x:v>1600</x:v>
      </x:c>
      <x:c r="C17" s="26" t="n">
        <x:v>1602.3</x:v>
      </x:c>
      <x:c r="D17" s="26" t="n">
        <x:v>1603.3</x:v>
      </x:c>
      <x:c r="E17" s="26" t="n">
        <x:v>0.50955</x:v>
      </x:c>
      <x:c r="F17" s="26" t="n">
        <x:v>1601.8</x:v>
      </x:c>
      <x:c r="G17" s="26" t="n">
        <x:v>1603</x:v>
      </x:c>
      <x:c r="H17" s="26" t="n">
        <x:v>0.45711</x:v>
      </x:c>
    </x:row>
    <x:row r="18" ht="15" hidden="0" customHeight="1">
      <x:c r="A18" t="str">
        <x:v>F17</x:v>
      </x:c>
      <x:c r="B18" s="26" t="n">
        <x:v>1700</x:v>
      </x:c>
      <x:c r="C18" s="26" t="n">
        <x:v>3101.4</x:v>
      </x:c>
      <x:c r="D18" s="26" t="n">
        <x:v>181040</x:v>
      </x:c>
      <x:c r="E18" s="26" t="n">
        <x:v>247500</x:v>
      </x:c>
      <x:c r="F18" s="26" t="n">
        <x:v>2936.3</x:v>
      </x:c>
      <x:c r="G18" s="26" t="n">
        <x:v>210610</x:v>
      </x:c>
      <x:c r="H18" s="26" t="n">
        <x:v>226060</x:v>
      </x:c>
    </x:row>
    <x:row r="19" ht="15" hidden="0" customHeight="1">
      <x:c r="A19" t="str">
        <x:v>F18</x:v>
      </x:c>
      <x:c r="B19" s="26" t="n">
        <x:v>1800</x:v>
      </x:c>
      <x:c r="C19" s="26" t="n">
        <x:v>2071.4</x:v>
      </x:c>
      <x:c r="D19" s="26" t="n">
        <x:v>7958.8</x:v>
      </x:c>
      <x:c r="E19" s="26" t="n">
        <x:v>6597.1</x:v>
      </x:c>
      <x:c r="F19" s="26" t="n">
        <x:v>2043.7</x:v>
      </x:c>
      <x:c r="G19" s="26" t="n">
        <x:v>11124</x:v>
      </x:c>
      <x:c r="H19" s="26" t="n">
        <x:v>8139.1</x:v>
      </x:c>
    </x:row>
    <x:row r="20" ht="15" hidden="0" customHeight="1">
      <x:c r="A20" t="str">
        <x:v>F19</x:v>
      </x:c>
      <x:c r="B20" s="26" t="n">
        <x:v>1900</x:v>
      </x:c>
      <x:c r="C20" s="26" t="n">
        <x:v>1902</x:v>
      </x:c>
      <x:c r="D20" s="26" t="n">
        <x:v>1903.7</x:v>
      </x:c>
      <x:c r="E20" s="26" t="n">
        <x:v>1.3994</x:v>
      </x:c>
      <x:c r="F20" s="26" t="n">
        <x:v>1901.6</x:v>
      </x:c>
      <x:c r="G20" s="26" t="n">
        <x:v>1903.3</x:v>
      </x:c>
      <x:c r="H20" s="26" t="n">
        <x:v>1.3518</x:v>
      </x:c>
    </x:row>
    <x:row r="21" ht="15" hidden="0" customHeight="1">
      <x:c r="A21" t="str">
        <x:v>F20</x:v>
      </x:c>
      <x:c r="B21" s="26" t="n">
        <x:v>2000</x:v>
      </x:c>
      <x:c r="C21" s="26" t="n">
        <x:v>2363.3</x:v>
      </x:c>
      <x:c r="D21" s="26" t="n">
        <x:v>8303.1</x:v>
      </x:c>
      <x:c r="E21" s="26" t="n">
        <x:v>6794.5</x:v>
      </x:c>
      <x:c r="F21" s="26" t="n">
        <x:v>2145.1</x:v>
      </x:c>
      <x:c r="G21" s="26" t="n">
        <x:v>10084</x:v>
      </x:c>
      <x:c r="H21" s="26" t="n">
        <x:v>7367</x:v>
      </x:c>
    </x:row>
    <x:row r="22" ht="15" hidden="0" customHeight="1">
      <x:c r="A22" t="str">
        <x:v>F21</x:v>
      </x:c>
      <x:c r="B22" s="26" t="n">
        <x:v>2100</x:v>
      </x:c>
      <x:c r="C22" s="26" t="n">
        <x:v>2673.1</x:v>
      </x:c>
      <x:c r="D22" s="26" t="n">
        <x:v>10567</x:v>
      </x:c>
      <x:c r="E22" s="26" t="n">
        <x:v>6877.3</x:v>
      </x:c>
      <x:c r="F22" s="26" t="n">
        <x:v>3916.6</x:v>
      </x:c>
      <x:c r="G22" s="26" t="n">
        <x:v>10589</x:v>
      </x:c>
      <x:c r="H22" s="26" t="n">
        <x:v>5423</x:v>
      </x:c>
    </x:row>
    <x:row r="23" ht="15" hidden="0" customHeight="1">
      <x:c r="A23" t="str">
        <x:v>F22</x:v>
      </x:c>
      <x:c r="B23" s="26" t="n">
        <x:v>2200</x:v>
      </x:c>
      <x:c r="C23" s="26" t="n">
        <x:v>2226.8</x:v>
      </x:c>
      <x:c r="D23" s="26" t="n">
        <x:v>2325.5</x:v>
      </x:c>
      <x:c r="E23" s="26" t="n">
        <x:v>85.554</x:v>
      </x:c>
      <x:c r="F23" s="26" t="n">
        <x:v>2226.9</x:v>
      </x:c>
      <x:c r="G23" s="26" t="n">
        <x:v>2311.4</x:v>
      </x:c>
      <x:c r="H23" s="26" t="n">
        <x:v>56.703</x:v>
      </x:c>
    </x:row>
    <x:row r="24" ht="15" hidden="0" customHeight="1">
      <x:c r="A24" t="str">
        <x:v>F23</x:v>
      </x:c>
      <x:c r="B24" s="26" t="n">
        <x:v>2300</x:v>
      </x:c>
      <x:c r="C24" s="26" t="n">
        <x:v>2311.8</x:v>
      </x:c>
      <x:c r="D24" s="26" t="n">
        <x:v>2493.7</x:v>
      </x:c>
      <x:c r="E24" s="26" t="n">
        <x:v>34.361</x:v>
      </x:c>
      <x:c r="F24" s="26" t="n">
        <x:v>2629.5</x:v>
      </x:c>
      <x:c r="G24" s="26" t="n">
        <x:v>2634.6</x:v>
      </x:c>
      <x:c r="H24" s="26" t="n">
        <x:v>5.7748</x:v>
      </x:c>
    </x:row>
    <x:row r="25" ht="15" hidden="0" customHeight="1">
      <x:c r="A25" t="str">
        <x:v>F24</x:v>
      </x:c>
      <x:c r="B25" s="26" t="n">
        <x:v>2400</x:v>
      </x:c>
      <x:c r="C25" s="26" t="n">
        <x:v>2524.3</x:v>
      </x:c>
      <x:c r="D25" s="26" t="n">
        <x:v>2560.1</x:v>
      </x:c>
      <x:c r="E25" s="26" t="n">
        <x:v>26.101</x:v>
      </x:c>
      <x:c r="F25" s="26" t="n">
        <x:v>2510.4</x:v>
      </x:c>
      <x:c r="G25" s="26" t="n">
        <x:v>2552.5</x:v>
      </x:c>
      <x:c r="H25" s="26" t="n">
        <x:v>35.929</x:v>
      </x:c>
    </x:row>
    <x:row r="26" ht="15" hidden="0" customHeight="1">
      <x:c r="A26" t="str">
        <x:v>F25</x:v>
      </x:c>
      <x:c r="B26" s="26" t="n">
        <x:v>2500</x:v>
      </x:c>
      <x:c r="C26" s="26" t="n">
        <x:v>2650.7</x:v>
      </x:c>
      <x:c r="D26" s="26" t="n">
        <x:v>2694.3</x:v>
      </x:c>
      <x:c r="E26" s="26" t="n">
        <x:v>10.98</x:v>
      </x:c>
      <x:c r="F26" s="26" t="n">
        <x:v>2668.8</x:v>
      </x:c>
      <x:c r="G26" s="26" t="n">
        <x:v>2698.9</x:v>
      </x:c>
      <x:c r="H26" s="26" t="n">
        <x:v>7.4679</x:v>
      </x:c>
    </x:row>
    <x:row r="27" ht="15" hidden="0" customHeight="1">
      <x:c r="A27" t="str">
        <x:v>F26</x:v>
      </x:c>
      <x:c r="B27" s="26" t="n">
        <x:v>2600</x:v>
      </x:c>
      <x:c r="C27" s="26" t="n">
        <x:v>2700.2</x:v>
      </x:c>
      <x:c r="D27" s="26" t="n">
        <x:v>2700.5</x:v>
      </x:c>
      <x:c r="E27" s="26" t="n">
        <x:v>0.33159</x:v>
      </x:c>
      <x:c r="F27" s="26" t="n">
        <x:v>2700.1</x:v>
      </x:c>
      <x:c r="G27" s="26" t="n">
        <x:v>2703.5</x:v>
      </x:c>
      <x:c r="H27" s="26" t="n">
        <x:v>18.226</x:v>
      </x:c>
    </x:row>
    <x:row r="28" ht="15" hidden="0" customHeight="1">
      <x:c r="A28" t="str">
        <x:v>F27</x:v>
      </x:c>
      <x:c r="B28" s="26" t="n">
        <x:v>2700</x:v>
      </x:c>
      <x:c r="C28" s="26" t="n">
        <x:v>2703.9</x:v>
      </x:c>
      <x:c r="D28" s="26" t="n">
        <x:v>2868.3</x:v>
      </x:c>
      <x:c r="E28" s="26" t="n">
        <x:v>72.135</x:v>
      </x:c>
      <x:c r="F28" s="26" t="n">
        <x:v>2703.3</x:v>
      </x:c>
      <x:c r="G28" s="26" t="n">
        <x:v>3004.6</x:v>
      </x:c>
      <x:c r="H28" s="26" t="n">
        <x:v>139.07</x:v>
      </x:c>
    </x:row>
    <x:row r="29" ht="15" hidden="0" customHeight="1">
      <x:c r="A29" t="str">
        <x:v>F28</x:v>
      </x:c>
      <x:c r="B29" s="26" t="n">
        <x:v>2800</x:v>
      </x:c>
      <x:c r="C29" s="26" t="n">
        <x:v>3000</x:v>
      </x:c>
      <x:c r="D29" s="26" t="n">
        <x:v>3000</x:v>
      </x:c>
      <x:c r="E29" s="26" t="n">
        <x:v>0</x:v>
      </x:c>
      <x:c r="F29" s="26" t="n">
        <x:v>3169.3</x:v>
      </x:c>
      <x:c r="G29" s="26" t="n">
        <x:v>3251.5</x:v>
      </x:c>
      <x:c r="H29" s="26" t="n">
        <x:v>52.321</x:v>
      </x:c>
    </x:row>
    <x:row r="30" ht="15" hidden="0" customHeight="1">
      <x:c r="A30" t="str">
        <x:v>F29</x:v>
      </x:c>
      <x:c r="B30" s="26" t="n">
        <x:v>2900</x:v>
      </x:c>
      <x:c r="C30" s="26" t="n">
        <x:v>3100</x:v>
      </x:c>
      <x:c r="D30" s="26" t="n">
        <x:v>3980.8</x:v>
      </x:c>
      <x:c r="E30" s="26" t="n">
        <x:v>1986.8</x:v>
      </x:c>
      <x:c r="F30" s="26" t="n">
        <x:v>3227.4</x:v>
      </x:c>
      <x:c r="G30" s="26" t="n">
        <x:v>357840</x:v>
      </x:c>
      <x:c r="H30" s="26" t="n">
        <x:v>824600</x:v>
      </x:c>
    </x:row>
    <x:row r="31" ht="15" hidden="0" customHeight="1">
      <x:c r="A31" t="str">
        <x:v>F30</x:v>
      </x:c>
      <x:c r="B31" s="26" t="n">
        <x:v>3000</x:v>
      </x:c>
      <x:c r="C31" s="26" t="n">
        <x:v>3200</x:v>
      </x:c>
      <x:c r="D31" s="26" t="n">
        <x:v>3558.3</x:v>
      </x:c>
      <x:c r="E31" s="26" t="n">
        <x:v>618.21</x:v>
      </x:c>
      <x:c r="F31" s="26" t="n">
        <x:v>3601.1</x:v>
      </x:c>
      <x:c r="G31" s="26" t="n">
        <x:v>4345.5</x:v>
      </x:c>
      <x:c r="H31" s="26" t="n">
        <x:v>690.83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15" hidden="0" customHeight="1">
      <x:c r="A1" s="18" t="str">
        <x:v>Item</x:v>
      </x:c>
      <x:c r="B1" s="18" t="str">
        <x:v>Value</x:v>
      </x:c>
    </x:row>
    <x:row r="2" ht="15" hidden="0" customHeight="1">
      <x:c r="A2" s="19" t="str">
        <x:v>Paper source</x:v>
      </x:c>
      <x:c r="B2" s="19" t="str">
        <x:v>User-provided PDF: A Sinh Cosh optimizer(1).pdf, Table 14 (CEC2014, D=10).</x:v>
      </x:c>
    </x:row>
    <x:row r="3" ht="15" hidden="0" customHeight="1">
      <x:c r="A3" s="19" t="str">
        <x:v>Paper metrics</x:v>
      </x:c>
      <x:c r="B3" s="19" t="str">
        <x:v>Best, Average, STD from 30 runs.</x:v>
      </x:c>
    </x:row>
    <x:row r="4" ht="15" hidden="0" customHeight="1">
      <x:c r="A4" s="19" t="str">
        <x:v>Reproduction</x:v>
      </x:c>
      <x:c r="B4" s="19" t="str">
        <x:v>E4 summary: CEC2014 F1-F30, D=10, N=30, MaxIter=500, 30 runs, seeds 1000–1029.</x:v>
      </x:c>
    </x:row>
    <x:row r="5" ht="15" hidden="0" customHeight="1">
      <x:c r="A5" s="19" t="str">
        <x:v>STD used</x:v>
      </x:c>
      <x:c r="B5" s="19" t="str">
        <x:v>Reproduction uses Std_sample_ddof1 for paper comparison (MATLAB std default convention).</x:v>
      </x:c>
    </x:row>
    <x:row r="6" ht="15" hidden="0" customHeight="1">
      <x:c r="A6" s="19" t="str">
        <x:v>Primary diagnostic</x:v>
      </x:c>
      <x:c r="B6" s="19" t="str">
        <x:v>Compare excess error: Mean - f_opt, because raw CEC fitness includes offsets 100*i.</x:v>
      </x:c>
    </x:row>
    <x:row r="7" ht="15" hidden="0" customHeight="1">
      <x:c r="A7" s="19" t="str">
        <x:v>Mean Error Ratio</x:v>
      </x:c>
      <x:c r="B7" s="19" t="str">
        <x:v>(Repro Mean - f_opt) / (Paper Average - f_opt). Ratio 1 means equal excess-error scale.</x:v>
      </x:c>
    </x:row>
    <x:row r="8" ht="15" hidden="0" customHeight="1">
      <x:c r="A8" s="19" t="str">
        <x:v>Close band</x:v>
      </x:c>
      <x:c r="B8" s="19" t="str">
        <x:v>0.8–1.25 (within ±25%).</x:v>
      </x:c>
    </x:row>
    <x:row r="9" ht="15" hidden="0" customHeight="1">
      <x:c r="A9" s="19" t="str">
        <x:v>Same-order band</x:v>
      </x:c>
      <x:c r="B9" s="19" t="str">
        <x:v>0.5–2, excluding Close.</x:v>
      </x:c>
    </x:row>
    <x:row r="10" ht="15" hidden="0" customHeight="1">
      <x:c r="A10" s="19" t="str">
        <x:v>Notable band</x:v>
      </x:c>
      <x:c r="B10" s="19" t="str">
        <x:v>0.1–10, excluding closer bands.</x:v>
      </x:c>
    </x:row>
    <x:row r="11" ht="15" hidden="0" customHeight="1">
      <x:c r="A11" s="19" t="str">
        <x:v>Major band</x:v>
      </x:c>
      <x:c r="B11" s="19" t="str">
        <x:v>&gt;10 or &lt;0.1.</x:v>
      </x:c>
    </x:row>
    <x:row r="12" ht="15" hidden="0" customHeight="1">
      <x:c r="A12" s="19" t="str">
        <x:v>Important limitation</x:v>
      </x:c>
      <x:c r="B12" s="19" t="str">
        <x:v>These bands are descriptive diagnostics, not statistical significance tests.</x:v>
      </x:c>
    </x:row>
    <x:row r="13" ht="15" hidden="0" customHeight="1">
      <x:c r="A13" s="19" t="str">
        <x:v>Friedman ranking</x:v>
      </x:c>
      <x:c r="B13" s="19" t="str">
        <x:v>Not reproduced here because the paper ranks 9 algorithms; E4 contains only GWO and SCHO.</x:v>
      </x:c>
    </x:row>
    <x:row r="14" ht="15" hidden="0" customHeight="1">
      <x:c r="A14" s="19" t="str">
        <x:v>Wilcoxon</x:v>
      </x:c>
      <x:c r="B14" s="19" t="str">
        <x:v>Not recomputed in E5 because run-level E4 raw file was not needed/uploaded for this stage.</x:v>
      </x:c>
    </x:row>
    <x:row r="15" ht="15" hidden="0" customHeight="1">
      <x:c r="A15" s="19" t="str">
        <x:v>Frozen algorithms</x:v>
      </x:c>
      <x:c r="B15" s="19" t="str">
        <x:v>No changes to algorithms/gwo.py or algorithms/scho.py.</x:v>
      </x:c>
    </x:row>
  </x:sheetData>
  <x:pageMargins left="0.7" right="0.7" top="0.75" bottom="0.75" header="0.3" footer="0.3"/>
</x:worksheet>
</file>